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29"/>
  <workbookPr showInkAnnotation="0"/>
  <mc:AlternateContent xmlns:mc="http://schemas.openxmlformats.org/markup-compatibility/2006">
    <mc:Choice Requires="x15">
      <x15ac:absPath xmlns:x15ac="http://schemas.microsoft.com/office/spreadsheetml/2010/11/ac" url="C:\Users\Dell\Desktop\"/>
    </mc:Choice>
  </mc:AlternateContent>
  <xr:revisionPtr revIDLastSave="0" documentId="13_ncr:1_{58F4B847-3AA0-4253-BF70-1D46BFA0E115}" xr6:coauthVersionLast="47" xr6:coauthVersionMax="47" xr10:uidLastSave="{00000000-0000-0000-0000-000000000000}"/>
  <bookViews>
    <workbookView xWindow="-108" yWindow="-108" windowWidth="23256" windowHeight="12576" activeTab="2" xr2:uid="{00000000-000D-0000-FFFF-FFFF00000000}"/>
  </bookViews>
  <sheets>
    <sheet name="Sheet2" sheetId="6" r:id="rId1"/>
    <sheet name="Sheet3" sheetId="7" r:id="rId2"/>
    <sheet name="Test Cases" sheetId="4" r:id="rId3"/>
    <sheet name="Sheet1" sheetId="5" r:id="rId4"/>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1">
      <go:sheetsCustomData xmlns:go="http://customooxmlschemas.google.com/" r:id="rId6" roundtripDataSignature="AMtx7mipA2dnKt9atfDyoeR4cQy1f3rYxg=="/>
    </ext>
  </extLst>
</workbook>
</file>

<file path=xl/calcChain.xml><?xml version="1.0" encoding="utf-8"?>
<calcChain xmlns="http://schemas.openxmlformats.org/spreadsheetml/2006/main">
  <c r="C4" i="4" l="1"/>
  <c r="C5" i="4"/>
  <c r="C6" i="4"/>
  <c r="C7" i="4"/>
  <c r="C9" i="4"/>
  <c r="D4" i="4" l="1"/>
  <c r="D6" i="4"/>
  <c r="C8" i="4"/>
  <c r="D8" i="4" s="1"/>
  <c r="D5" i="4"/>
  <c r="D7" i="4"/>
</calcChain>
</file>

<file path=xl/sharedStrings.xml><?xml version="1.0" encoding="utf-8"?>
<sst xmlns="http://schemas.openxmlformats.org/spreadsheetml/2006/main" count="559" uniqueCount="334">
  <si>
    <t>Pass</t>
  </si>
  <si>
    <t>Fail</t>
  </si>
  <si>
    <t>On hold</t>
  </si>
  <si>
    <t>Test Cases</t>
  </si>
  <si>
    <t>Status</t>
  </si>
  <si>
    <t>Number of Test Cases</t>
  </si>
  <si>
    <t>Percentage %</t>
  </si>
  <si>
    <t>Not Executed</t>
  </si>
  <si>
    <t>Number of test cases executed</t>
  </si>
  <si>
    <t>Total Number of Test Cases</t>
  </si>
  <si>
    <t>Test Case</t>
  </si>
  <si>
    <t xml:space="preserve">Test Description </t>
  </si>
  <si>
    <t>Steps to recreate</t>
  </si>
  <si>
    <t>Test data</t>
  </si>
  <si>
    <t>Expected results</t>
  </si>
  <si>
    <t>Comments</t>
  </si>
  <si>
    <t>Tested by</t>
  </si>
  <si>
    <t xml:space="preserve">System should display an error message </t>
  </si>
  <si>
    <t>Verify that the system prevents signing up with an already registered email.</t>
  </si>
  <si>
    <t>Login with correct email address  and incorrect password</t>
  </si>
  <si>
    <t>Login with incorrect email address  and correct password</t>
  </si>
  <si>
    <t>Login with incorrect email address  and incorrect password</t>
  </si>
  <si>
    <t>Avoid entering both email and password</t>
  </si>
  <si>
    <t>Login with correct email address  and correct password</t>
  </si>
  <si>
    <t>1.Go to the food ordering application(URL)                                      2.Navigate to the Login page                                                                                            3.Keep email address and password null                                                                     4.Click on "Login"button</t>
  </si>
  <si>
    <t>1.Go to the food ordering application(URL)                                      2.Navigate to the Login page                                                                                            3.Enter a valid email address                                                                    4.Enter a valid password                                                                        5.Click on "Login"button</t>
  </si>
  <si>
    <t>1.Go to the food ordering application(URL)                                      2.Navigate to the Login page                                                                                            3.Enter a valid email address                                                                    4.Enter a invalid password                                                                        5.Click on "Login"button</t>
  </si>
  <si>
    <t>1.Go to the food ordering application(URL)                                      2.Navigate to the Login page                                                                                            3.Enter a invalid email address                                                                   4.Enter a valid password                                                                        5.Click on "Login"button</t>
  </si>
  <si>
    <t>1.Go to the food ordering application(URL)                                      2.Navigate to the Login page                                                                                            3.Enter a invalid email address                                                                   4.Enter a invalid password                                                                        5.Click on "Login"button</t>
  </si>
  <si>
    <t>Avoid entering any details</t>
  </si>
  <si>
    <t xml:space="preserve">                         -                                           </t>
  </si>
  <si>
    <t>Enter every detais correctly and signup correctly</t>
  </si>
  <si>
    <t>Customers should be able to view home page</t>
  </si>
  <si>
    <t>Verify that the system prevents signing up with invalid phone number</t>
  </si>
  <si>
    <t>Verify that the system prevents signing up with empty name column.</t>
  </si>
  <si>
    <t>Verify that the system prevents signing up with empty phone number column.</t>
  </si>
  <si>
    <t>Verify that the system prevents signing up with empty email column.</t>
  </si>
  <si>
    <t>Verify that the system prevents signing up with empty password column.</t>
  </si>
  <si>
    <t>Verify that the system prevents signing up with empty confirm password column.</t>
  </si>
  <si>
    <t>Ahinsa</t>
  </si>
  <si>
    <t xml:space="preserve">                                                                              </t>
  </si>
  <si>
    <t>Verify that the system prevents signing up with empty city column.</t>
  </si>
  <si>
    <t>Actual Tesat Result</t>
  </si>
  <si>
    <t>Display home page</t>
  </si>
  <si>
    <t>Customers shouldn't be able to view home page</t>
  </si>
  <si>
    <t>Forget Password</t>
  </si>
  <si>
    <t>Customer should receive Password reset email</t>
  </si>
  <si>
    <t>Web Login_1</t>
  </si>
  <si>
    <t>Web Login_2</t>
  </si>
  <si>
    <t>Web Login_3</t>
  </si>
  <si>
    <t>Web Login_4</t>
  </si>
  <si>
    <t>Web Login_5</t>
  </si>
  <si>
    <t>Web SignUp_1</t>
  </si>
  <si>
    <t>Web SignUp_2</t>
  </si>
  <si>
    <t>Web SignUp_3</t>
  </si>
  <si>
    <t>Web SignUp_4</t>
  </si>
  <si>
    <t>Web SignUp_5</t>
  </si>
  <si>
    <t>Web SignUp_6</t>
  </si>
  <si>
    <t>Web SignUp_7</t>
  </si>
  <si>
    <t>Web SignUp_8</t>
  </si>
  <si>
    <t>Web SignUp_9</t>
  </si>
  <si>
    <t>Web SignUp_10</t>
  </si>
  <si>
    <t xml:space="preserve">1.Click on "Forget Password"                                                          2.Enter Email                                                                                        3.Click Send Email Button                                                                                                                                                          </t>
  </si>
  <si>
    <t xml:space="preserve">1.Go to the food ordering application(URL)                                      2.Navigate to the SignUp page                                                         3.Enter no details                                                                                4.Click on "Sign up"button                                                                                  </t>
  </si>
  <si>
    <t>Customers should be able to view login page</t>
  </si>
  <si>
    <t xml:space="preserve">Display login page                                                      </t>
  </si>
  <si>
    <t>Display "email already in use" Message</t>
  </si>
  <si>
    <t>Display "All fields are required" Message</t>
  </si>
  <si>
    <t>Web Search Menu_1</t>
  </si>
  <si>
    <t xml:space="preserve">1.Go to the food ordering application(URL)                                      2.Navigate to the Menu page                                                         3.Enter a first letter of food in search food bar                                                                                        3.Click on"Search" button                                                    </t>
  </si>
  <si>
    <t>Web Search Menu_2</t>
  </si>
  <si>
    <t>Web FAQ_1</t>
  </si>
  <si>
    <t>Verify that the customer can view specific food directly by search food name in search foods bar.</t>
  </si>
  <si>
    <t>Verify that the customer can view foods directly by search first letter of foods in search food bar.</t>
  </si>
  <si>
    <t xml:space="preserve">Name-  Jhon                                                                                                                                                                                                                               Email- j@gmail.com                                                Subject-Rice                                                              Question-Is it avbailable?                                                                                                                                                                                                                                                   </t>
  </si>
  <si>
    <t>Admin should reply</t>
  </si>
  <si>
    <t>Customer received Password reset email</t>
  </si>
  <si>
    <t xml:space="preserve">1.Go to the food ordering application(URL)                                      2.Navigate to the Menu page                                                         3.Enter a name of food in search food bar                                                                                        3.Click on"Search" button                                                    </t>
  </si>
  <si>
    <t>Web Quantity_1</t>
  </si>
  <si>
    <t>Web Quantity_2</t>
  </si>
  <si>
    <t>System should display quantity of Egg and Vegetable Fried Rice</t>
  </si>
  <si>
    <t>Display Quantity:3</t>
  </si>
  <si>
    <t>Display Quantity:1</t>
  </si>
  <si>
    <t>Adding food items to cart</t>
  </si>
  <si>
    <t xml:space="preserve">1.Go to the food ordering application(URL)                                      2.Navigate to the Menu page                                                         3.Select the food item                                                                                   4.Select the quantity of food item                                                               5.Click Add to Cart button                               </t>
  </si>
  <si>
    <t xml:space="preserve">Item-Egg &amp; Vegetable Fried Rice                              Quantity-2                                                                                                                                                                                                                                                                                                                                                                                                                    </t>
  </si>
  <si>
    <t>Added to cart and system should display message</t>
  </si>
  <si>
    <t>increasing quantity of  food item</t>
  </si>
  <si>
    <t>decreasing quantity of  food item</t>
  </si>
  <si>
    <t xml:space="preserve">1.Go to the food ordering application(URL)                                      2.Navigate to the Menu page                                                         3.Select the food item                                                                                   4.Click + button to increase the quantity of food item                                                                                             </t>
  </si>
  <si>
    <t xml:space="preserve">Item-Egg &amp; Vegetable Fried Rice                              Quantity-3                                                                                                                                                                                                                                                                                                                                                                                                              </t>
  </si>
  <si>
    <t>Item-Egg &amp; Vegetable Fried Rice                              Quantity-1</t>
  </si>
  <si>
    <t xml:space="preserve">1.Go to the food ordering application(URL)                                      2.Navigate to the Menu page                                                         3.Select the food item                                                                                   4.Click - button to decrease the quantity of food item                                                                                             </t>
  </si>
  <si>
    <t>Placing an order from menu</t>
  </si>
  <si>
    <t>Login with unregistered user email and password</t>
  </si>
  <si>
    <t>1.Go to the food ordering application(URL)                                      2.Navigate to the Login page                                                                                            3.Enter a unregistered email address                                                                   4.Enter a unregistered password                                                                        5.Click on "Login"button</t>
  </si>
  <si>
    <t>Web Login_6</t>
  </si>
  <si>
    <t>email- jane@gmail.com                                                      Password-2345</t>
  </si>
  <si>
    <t>Display "Failed to log in.Please check your credentials"</t>
  </si>
  <si>
    <t xml:space="preserve">1.Go to the food ordering application(URL)                                      2.Navigate to the Feedback page                                                            3.Enter a name                                                                                                                     4.Enter a email address                                                                              5.Enter a subject                                                                                            6.Enter the question                                                                                           7.Click send message button                                                                   </t>
  </si>
  <si>
    <t>Order Placed</t>
  </si>
  <si>
    <t>Web user profile_1</t>
  </si>
  <si>
    <t>email-  ______________                                                     Password-____________</t>
  </si>
  <si>
    <t>1.Go to the food ordering application(URL)                                      2.Navigate to the SignUp page                                                         3.Enter a name                                                                                          4.Enter a valid phone number                                                                   5.Enter a valid email address                                                    6.Enter a valid address                                                                      7.Enter a city                                                                                       8.Enter a valid password                                                                   9.Enter a valid password to confirm                                                10.Click on"Sign up"button</t>
  </si>
  <si>
    <t xml:space="preserve">Name- Ann                                                      Phone- 0774816110                                                                                                                                                                                 Email- ja@gmail.com                                                Address-  Sooriyawewa                                                          City- Sooriyawewa                                                                                          Password-ann123!@#                                         Conform password-ann123!@#   </t>
  </si>
  <si>
    <t>1.Go to the food ordering application(URL)                                      2.Navigate to the SignUp page                                                         3.Enter a name                                                                                          4.Enter a valid phone number                                                                   5.Enter already registered email address                                                    6.Enter a valid address                                                                      7.Enter a city                                                                                       8.Enter a valid password                                                                   9.Enter a valid password to confirm                                                10.Click on"Sign up"button</t>
  </si>
  <si>
    <t>1.Go to the food ordering application(URL)                                      2.Navigate to the SignUp page                                                         3.Enter a name                                                                                          4.Enter a invalid phone number                                                                   5.Enter a valid email address                                                    6.Enter a valid address                                                                      7.Enter a city                                                                                       8.Enter a valid password                                                                   9.Enter a valid password to confirm                                                10.Click on"Sign up"button</t>
  </si>
  <si>
    <t xml:space="preserve">Name- Ann                                                      Phone- 0774816                                                                                                                                                                                Email- ann@gmail.com                                   Address-Sooriyawewa                                          City- Sooriyawewa                                                                                          Password-ann123!@#                                         Conform password-ann123!@#   </t>
  </si>
  <si>
    <t>1.Go to the food ordering application(URL)                                      2.Navigate to the SignUp page                                                         3.Empty name  column                                                                                       4.Enter a valid phone number                                                                   5.Enter a valid email address                                                    6.Enter a valid address                                                                      7.Enter a city                                                                                       8.Enter a valid password                                                                   9.Enter a valid password to confirm                                                10.Click on"Sign up"button</t>
  </si>
  <si>
    <t xml:space="preserve">Name- __________                                                            Phone- 07748161301                                                                                                                                                                                 Email- ss@gmail.com                                              Address-Embilipitiya                                       City- Embilipitiya                                                                                     Password-s123!@#                                         Conform password-s123!@#   </t>
  </si>
  <si>
    <t>1.Go to the food ordering application(URL)                                      2.Navigate to the SignUp page                                                         3.Enter a name                                                                                          4.Empty phone number                                                                   5.Enter a valid email address                                                    6.Enter a valid address                                                                      7.Enter a city                                                                                       8.Enter a valid password                                                                   9.Enter a valid password to confirm                                                10.Click on"Sign up"button</t>
  </si>
  <si>
    <t xml:space="preserve">Name- Savi                                                            Phone-  ___________                                                                                                                                                                            Email- ss@gmail.com                                              Address-Embilipitiya                                      City- Embilipitiya                                                                                     Password-s123!@#                                         Conform password-s123!@#   </t>
  </si>
  <si>
    <t>1.Go to the food ordering application(URL)                                      2.Navigate to the SignUp page                                                         3.Enter a name                                                                                          4.Enter a valid phone number                                                                   5.Empty email address  column                                              6.Enter a valid address                                                                      7.Enter a city                                                                                       8.Enter a valid password                                                                   9.Enter a valid password to confirm                                                10.Click on"Sign up"button</t>
  </si>
  <si>
    <t xml:space="preserve">Name- Savi                                                            Phone-  0774916150                                                                                                                                                                               Email- __________                                                    Address-Embilipitiya                                                         City- Embilipitiya                                                                                     Password-s123!@#                                         Conform password-s123!@#   </t>
  </si>
  <si>
    <t>1.Go to the food ordering application(URL)                                      2.Navigate to the SignUp page                                                         3.Enter a name                                                                                          4.Enter a valid phone number                                                                   5.Enter a valid email address                                                    6.Enter a valid address                                                                      7.Enter a city                                                                                       8.Empty password column                                                                  9.Enter a valid password to confirm                                                10.Click on"Sign up"button</t>
  </si>
  <si>
    <t xml:space="preserve">Name- Savi                                                            Phone-  0774916150                                                                                                                                                                               Email-  ss@gmail.com                                               Address-Embilipitiya                                                               City- Embilipitiya                                                                                     Password- ___________                                                         Conform password-s123!@#   </t>
  </si>
  <si>
    <t>1.Go to the food ordering application(URL)                                      2.Navigate to the SignUp page                                                         3.Enter a name                                                                                          4.Enter a valid phone number                                                                   5.Enter a valid email address                                                    6.Enter a valid address                                                                      7.Enter a city                                                                                       8.Enter a valid password                                                                   9.Empty confirm password column                                      10.Click on"Sign up"button</t>
  </si>
  <si>
    <t xml:space="preserve">Name- Savi                                                            Phone-  0774916150                                                                                                                                                                               Email-  ss@gmail.com                                         Address-Embilipitiya                                                                  City- Embilipitiya                                                                                     Password-s123!@#                                                           Conform password- __________ </t>
  </si>
  <si>
    <t>1.Go to the food ordering application(URL)                                      2.Navigate to the SignUp page                                                         3.Enter a name                                                                                          4.Enter a valid phone number                                                                   5.Enter a valid email address                                                    6.Enter a valid address                                                                      7.Empty city column                                                                                      8.Enter a valid password                                                                   9.Enter a valid password to confirm                                                10.Click on"Sign up"button</t>
  </si>
  <si>
    <t xml:space="preserve">Name- Savi                                                            Phone-  0774916150                                                                                                                                                                               Email-  ss@gmail.com                                                Address-Embilipitiya                                                              City- __________                                                                                  Password-s123!@#                                                           Conform password-s123!@#   </t>
  </si>
  <si>
    <t>Web SignUp_11</t>
  </si>
  <si>
    <t xml:space="preserve">Name- Savi                                                            Phone-  0774916150                                                                                                                                                                               Email-  ss@gmail.com                                                Address-____________                                                       City- Embilipitiya                                                                            Password-s123!@#                                                           Conform password-s123!@#   </t>
  </si>
  <si>
    <t>Enter "B" for view Chicken biriyani</t>
  </si>
  <si>
    <t>Enter "Biriyani sawan" for view Chicken biriyani</t>
  </si>
  <si>
    <t>System should display  dishes include "B" in food name</t>
  </si>
  <si>
    <t>System should display  only Biriyani sawan dish</t>
  </si>
  <si>
    <t>Display dishes include "B" in food name.</t>
  </si>
  <si>
    <t>Display only Biriyani Sawan dish</t>
  </si>
  <si>
    <t>Web Add to cart</t>
  </si>
  <si>
    <t>Web Place an order_1</t>
  </si>
  <si>
    <t>Web Place an order_2</t>
  </si>
  <si>
    <t>Placing an order from cart</t>
  </si>
  <si>
    <t xml:space="preserve">1.Go to the food ordering application(URL)                                      2.Navigate to the Menu page                                                         3.Select the food item                                                                                   4.Select the quantity of food item                                                               5.Click Buy Now button                            </t>
  </si>
  <si>
    <t xml:space="preserve">1.Go to the food ordering application(URL)                                      2.Navigate to the cart page                                                         3.Select the food item                                                                                   4.Select the quantity of food item                                                                                                                            5. Select the item from cart and proceed to checkout                            </t>
  </si>
  <si>
    <t>Item-Egg &amp; Vegetable Fried Rice                              Quantity-2</t>
  </si>
  <si>
    <t xml:space="preserve">1.Go to the food ordering application(URL)                                      2.Navigate to the Feedback page                                                            3.Enter a name                                                                                                                     4.Enter a item                                                                            5.Enter a city                                                                                         6.Drop a comment                                                                                       7.Click Add comment button                                                                   </t>
  </si>
  <si>
    <t xml:space="preserve">Name-Sara                                                                      Item-Biriyani sawan                                                        City-Embilipitiya                                                             Comment-Nice                                                                                                                                                                                                                                                                                                                                </t>
  </si>
  <si>
    <t>System should display the comment</t>
  </si>
  <si>
    <t>Comment display in feedback page</t>
  </si>
  <si>
    <t>Web Order history</t>
  </si>
  <si>
    <t>Checking order history</t>
  </si>
  <si>
    <t xml:space="preserve">1.Go to the food ordering application(URL)                                      2.Navigate to the Menu page                                                         3.Select the food item                                                                                   4.Select the quantity of food item                                                               5.Click Buy Now button                                                                6.Click "Submit" and place order                                            7.Check order history                            </t>
  </si>
  <si>
    <t>System should display the order in order history</t>
  </si>
  <si>
    <t>Web Subscribe</t>
  </si>
  <si>
    <t>Entering email and subscribe for know about offers</t>
  </si>
  <si>
    <t xml:space="preserve">1.Enter email                                                                           2. Click Subscribe button                      </t>
  </si>
  <si>
    <t>System should display the successfully subscribe message</t>
  </si>
  <si>
    <t>Display "Thank you for subscribing!" message</t>
  </si>
  <si>
    <t>Editing customer's Name</t>
  </si>
  <si>
    <t xml:space="preserve">1.Go to the food ordering application(URL)                                      2.Navigate to the home page                                                         3.Click user profile icon (System already show user existing details)                                                              4.Edit customer's name                                                                     5.Save details                    </t>
  </si>
  <si>
    <t xml:space="preserve">Edited name-Menula Perera                                                                                                                                                                                                                                                                                                                                                                           </t>
  </si>
  <si>
    <t>Edit name successfully</t>
  </si>
  <si>
    <t>Display "Profile updated successfully"message</t>
  </si>
  <si>
    <t>Web user profile_2</t>
  </si>
  <si>
    <t>Web user profile_3</t>
  </si>
  <si>
    <t>Web user profile_4</t>
  </si>
  <si>
    <t>Web user profile_5</t>
  </si>
  <si>
    <t xml:space="preserve">1.Go to the food ordering application(URL)                                      2.Navigate to the home page                                                         3.Click user profile icon (System already show user existing details)                                                              4.Edit customer's email                                                                    5.Save details                    </t>
  </si>
  <si>
    <t xml:space="preserve">1.Go to the food ordering application(URL)                                      2.Navigate to the home page                                                         3.Click user profile icon (System already show user existing details)                                                              4.Edit customer's address                                                                 5.Save details                    </t>
  </si>
  <si>
    <t xml:space="preserve">1.Go to the food ordering application(URL)                                      2.Navigate to the home page                                                         3.Click user profile icon (System already show user existing details)                                                              4.Edit customer's city                                                                   5.Save details                    </t>
  </si>
  <si>
    <t xml:space="preserve">1.Go to the food ordering application(URL)                                      2.Navigate to the home page                                                         3.Click user profile icon (System already show user existing details)                                                              4.Edit customer's phonr number                                                                    5.Save details                    </t>
  </si>
  <si>
    <t>Edit number successfully</t>
  </si>
  <si>
    <t xml:space="preserve">Edited number-0774561238                                                                                                                                                                                                                                                                                                                                                                        </t>
  </si>
  <si>
    <t>Couldn't edit the phone number</t>
  </si>
  <si>
    <t xml:space="preserve">Edited email-Menula@gmail.com                                                                                                                                                                                                                                                                                                                                                                          </t>
  </si>
  <si>
    <t>Edit email successfully</t>
  </si>
  <si>
    <t>Edit address successfully</t>
  </si>
  <si>
    <t>Edit city successfully</t>
  </si>
  <si>
    <t xml:space="preserve">Edited address-Sooriyawewa                                                                                                                                                                                                                                                                                                                                                                       </t>
  </si>
  <si>
    <t xml:space="preserve">Edited city-Sooriyawewa                                                                                                                                                                                                                                                                                                                                                                 </t>
  </si>
  <si>
    <t>Admin Panel</t>
  </si>
  <si>
    <t>Menu</t>
  </si>
  <si>
    <t>Add new menu type with items</t>
  </si>
  <si>
    <t>Add menu type,images and items in admin panel</t>
  </si>
  <si>
    <t>Menu Type-Desserts                                                 Items-Watalappan, Custard pudding</t>
  </si>
  <si>
    <t>Should display new menu type and item in web interface</t>
  </si>
  <si>
    <t>Display new menu type and item in web interface</t>
  </si>
  <si>
    <t>Orders_1</t>
  </si>
  <si>
    <t>Orders_2</t>
  </si>
  <si>
    <t>Add pending orders to confirmed orders</t>
  </si>
  <si>
    <t>Add new orders to pending order</t>
  </si>
  <si>
    <t xml:space="preserve">1.Click orders in side bar                                            2.Click view new order                                                                3.Select the order                                                                         4.Click "Add selected to pending" button                                             </t>
  </si>
  <si>
    <t>Order Id-OD978910</t>
  </si>
  <si>
    <t>Should order display in Pending orders list</t>
  </si>
  <si>
    <t>Order display in Pending orders list</t>
  </si>
  <si>
    <t xml:space="preserve">1.Click orders in side bar                                            2.Click view pending order                                                                3.Select the order                                                                         4.Click "Confirm selected orders" button                                             </t>
  </si>
  <si>
    <t>Order Id-OD978911</t>
  </si>
  <si>
    <t>Should order display in Confirmed orders list</t>
  </si>
  <si>
    <t>Order display in Confirmed orders list</t>
  </si>
  <si>
    <t>Promotions</t>
  </si>
  <si>
    <t>Add new promotions and special offers</t>
  </si>
  <si>
    <t xml:space="preserve">1.Click Promotions in side bar                                            2.Add image                                                                  3.Add product name                                                                      4.Add Price                                                                                       5.Add Discount                                                                                6.Description                                    </t>
  </si>
  <si>
    <t>Product name-Biriyani sawan                                                     Price-2000                                                                      Discount-0                                                                       Description-Valid for 30th October</t>
  </si>
  <si>
    <t>Should special offer display in web interface</t>
  </si>
  <si>
    <t>Special offer display in web interface</t>
  </si>
  <si>
    <t>Notifications_1</t>
  </si>
  <si>
    <t xml:space="preserve">Display comments </t>
  </si>
  <si>
    <t>Notifications_2</t>
  </si>
  <si>
    <t>Display  Subscribers</t>
  </si>
  <si>
    <t>Help Center</t>
  </si>
  <si>
    <t xml:space="preserve">1.Customer add a comment                                                                                      2.Admin Click Notification in admin panel                                            3.Click Comments button                                                                                                 </t>
  </si>
  <si>
    <t>Should display comment time and date</t>
  </si>
  <si>
    <t xml:space="preserve">1.Customer add email and subscribe                                                                                     2.Admin Click Notification in admin panel                                            3.Click Subscribers button                                                                                                 </t>
  </si>
  <si>
    <t>Email- manu@gmail.com</t>
  </si>
  <si>
    <t>Display subscribers' emails and admin can send replies</t>
  </si>
  <si>
    <t>Should display subscribers' emails and admin can send replies</t>
  </si>
  <si>
    <t>Sending replies to customers'questions</t>
  </si>
  <si>
    <t>Web Order status</t>
  </si>
  <si>
    <t>Checking order status</t>
  </si>
  <si>
    <t xml:space="preserve">1.Go to the food ordering application(URL)                                      2.Navigate to the Menu page                                                         3.Select the food item                                                                                   4.Select the quantity of food item                                                               5.Click Buy Now button                                                                6.Click "Submit" and place order                                            7.Check order status                           </t>
  </si>
  <si>
    <t>Item-Deviled Chicken                            Quantity-2</t>
  </si>
  <si>
    <t xml:space="preserve">Should display order status </t>
  </si>
  <si>
    <t>Display order is confirmed</t>
  </si>
  <si>
    <t>Order details display in history</t>
  </si>
  <si>
    <t xml:space="preserve">1.Click Help center in side bar                                            2.Send replies for questions                                                                                                        </t>
  </si>
  <si>
    <t xml:space="preserve">Name-  Menula                                                                                                                                                                                                                           Email- menu@gmail.com                                                Subject-Rice                                                              Question-Can I order 10 fried rice tomorrow?                                                                                                                                                                                                                                                  </t>
  </si>
  <si>
    <t>Should display admin's reply in notifications in web</t>
  </si>
  <si>
    <t>Display "Yes sir you can place order tomorrow morning"</t>
  </si>
  <si>
    <t>Verify that unregistered customer can asking questions and getting the reply</t>
  </si>
  <si>
    <t>Web FAQ_2</t>
  </si>
  <si>
    <t>Verify that registered customer can asking questions and getting the reply</t>
  </si>
  <si>
    <t>email- abcd@gmail.com                                                      Password-d123456</t>
  </si>
  <si>
    <t>Display fields to fill</t>
  </si>
  <si>
    <t>email- ovigalathure@gmail.com                                                      Password-ovini123</t>
  </si>
  <si>
    <t>email- ovigalathure@gmail.com                                                      Password-ovini1211</t>
  </si>
  <si>
    <t>email- ovi@gmail.com                                                      Password-ovini123</t>
  </si>
  <si>
    <t>email- ovigalathure@gmail.com                                                      Password-_________</t>
  </si>
  <si>
    <t xml:space="preserve">Display All fields are required                                               </t>
  </si>
  <si>
    <t>Name- Ahinsa Kaushani                                                    Phone- 0742607793                                                                                                                                                                                Email- divyangana321@gmail.com                                          Address- Keraminiya, Ambalangoda                                                                        City- Ambalangoda                                                                                          Password-div@1234                                     Conform password-div@1234</t>
  </si>
  <si>
    <t>Web SignUp_12</t>
  </si>
  <si>
    <t>Verify that the system prevents signing up with invalid password (Password must be at least 8 characters, with at least one uppercase, one lowercase, and one number)</t>
  </si>
  <si>
    <t>1.Go to the food ordering application(URL)                                      2.Navigate to the SignUp page                                                         3.Enter a name                                                                                          4.Enter a valid phone number                                                                   5.Enter a valid email address                                                    6.Enter a valid address  column                                                               7.Enter a city                                                                                  8.Enter a invalid password                                                                   9.Enter a valid password to confirm                                                10.Click on"Sign up"button</t>
  </si>
  <si>
    <t>1.Go to the food ordering application(URL)                                      2.Navigate to the SignUp page                                                         3.Enter a name                                                                                          4.Enter a valid phone number                                                                   5.Enter a valid email address                                                    6.Empty address  column                                                               7.Enter city column                                                                                      8.Enter a valid password                                                                   9.Enter a valid password to confirm                                                10.Click on"Sign up"button</t>
  </si>
  <si>
    <t xml:space="preserve">Name- Savi                                                            Phone-  0774916150                                                                                                                                                                               Email-  ss@gmail.com                                                Address-Embilipitiya                                                    City- Embilipitiya                                                                            Password-s1234                                                        Conform password-s1234  </t>
  </si>
  <si>
    <t>Display"Password must be at least 8 characters, with at least one uppercase, one lowercase, and one number"</t>
  </si>
  <si>
    <t>Send email "Mr.John yes it available"</t>
  </si>
  <si>
    <t xml:space="preserve">                                                                                                                                                                                                                                                   Subject-Rice                                                             Question-Can I order 15 chicken fried rice tomorrow?                                                                                                                                                                                                                                                   </t>
  </si>
  <si>
    <t xml:space="preserve">1.Go to the food ordering application(URL)                                      2.Navigate to the Feedback page                                                                                                                                                                                                                                                5.Enter a subject                                                                                            6.Enter the question                                                                                           7.Click send message button                                                                   </t>
  </si>
  <si>
    <t>Send email "Yes"</t>
  </si>
  <si>
    <t>Added to cart and display "Egg &amp; Vegetable Fried Rice has been added to cart!" message</t>
  </si>
  <si>
    <t xml:space="preserve">Email- divyangana321@gmail.com                                                                                                                                                                                                                                                                                                                                                                             </t>
  </si>
  <si>
    <t>Report</t>
  </si>
  <si>
    <t>Generate user and staff report</t>
  </si>
  <si>
    <t xml:space="preserve">1.Click Report in side bar                                                                                                                                                 </t>
  </si>
  <si>
    <t>Click Generate user report or staff report</t>
  </si>
  <si>
    <t>Generate user/staff report</t>
  </si>
  <si>
    <t>Kitchen Panel</t>
  </si>
  <si>
    <t>New orders</t>
  </si>
  <si>
    <t>Add new staff members</t>
  </si>
  <si>
    <t>Staff</t>
  </si>
  <si>
    <t>User</t>
  </si>
  <si>
    <t>Display user details</t>
  </si>
  <si>
    <t xml:space="preserve">1.Click 'User' in side bar                                                                                                                                          </t>
  </si>
  <si>
    <t>Should display new staff member in admin panel</t>
  </si>
  <si>
    <t>Should display user details</t>
  </si>
  <si>
    <t>New user-Ahinsa Kaushani</t>
  </si>
  <si>
    <t xml:space="preserve">1.Enter a name                                                                                                                                                                  2.Enter a email address                                                         3.Enter a password                                                               3.Select a section                                                       4.Enter a date of birth                                                                  5.Enter a address                                                                                    8.Enter a phone number                                                                9. Click Submit button                                   </t>
  </si>
  <si>
    <t>View new orders and staff can mark as ready</t>
  </si>
  <si>
    <t>Select Order ID-OD313724 and click 'Mark as ready'</t>
  </si>
  <si>
    <t>Order should display in Preparing orders list.</t>
  </si>
  <si>
    <t>Order display in Preparing orders list.</t>
  </si>
  <si>
    <t>Preparing orders</t>
  </si>
  <si>
    <t>View Preparing orders and staff can select ready orders</t>
  </si>
  <si>
    <t xml:space="preserve">1.Click Preparing orders in side bar                                                2.Select the orders and click 'Ready'  button                                                                                                                                         </t>
  </si>
  <si>
    <t xml:space="preserve">1.Click New orders in side bar                                                2.Select the orders and click 'Mark as ready'  button                                                                                                                                             </t>
  </si>
  <si>
    <t>Select Order ID-OD313724 and click 'Ready' button</t>
  </si>
  <si>
    <t>Profile_1</t>
  </si>
  <si>
    <t>View staff profile and can edit</t>
  </si>
  <si>
    <t>Profile_2</t>
  </si>
  <si>
    <t>Profile_3</t>
  </si>
  <si>
    <t>Profile_4</t>
  </si>
  <si>
    <t>Profile_5</t>
  </si>
  <si>
    <t>Delivery Panel</t>
  </si>
  <si>
    <t>Processing orders</t>
  </si>
  <si>
    <t>Order history</t>
  </si>
  <si>
    <t>Reports</t>
  </si>
  <si>
    <t>Delivery guy</t>
  </si>
  <si>
    <t>Edit Profile Picture- Change profile picture</t>
  </si>
  <si>
    <t>Edit Email-ovi123@gmail.com</t>
  </si>
  <si>
    <t>Edit Mobile-0716077025</t>
  </si>
  <si>
    <t>Edit Address-Godigamuwa, Rathnapura</t>
  </si>
  <si>
    <t xml:space="preserve">1.Click Profile in side bar                                                2.Edit profile details                                                                  3.Click Update button                                                                                                                                  </t>
  </si>
  <si>
    <t>Edit Name successfully</t>
  </si>
  <si>
    <t>Edit Email successfully</t>
  </si>
  <si>
    <t>Edit Mobile successfully</t>
  </si>
  <si>
    <t>Edit Address successfully</t>
  </si>
  <si>
    <t>Edit Profile picture successfully</t>
  </si>
  <si>
    <t>Display Delivery guy details and can add new deliver guy</t>
  </si>
  <si>
    <t>View deliver guy profile and can edit</t>
  </si>
  <si>
    <t>View order history</t>
  </si>
  <si>
    <t xml:space="preserve">1.Click Order history in side bar                                                                                                                                                                                            </t>
  </si>
  <si>
    <t>Name-  ovini galathure	                                                                                                                                                                                            Email-    ovi123@gmail.com                                           Password-   ovini123                                             Section-   kitchen                                                               Date of birth- 2001-06-01                                                                                       Address-  Godigamuwa, Rathnapura                                                           Phone number-0716077025</t>
  </si>
  <si>
    <t>Display new  staff member in admin panel</t>
  </si>
  <si>
    <t>Order should display in Ready orders list in admin panel</t>
  </si>
  <si>
    <t>Order display in Ready orders list in admin panel</t>
  </si>
  <si>
    <t xml:space="preserve">1.Click New orders in side bar                                                2.Select the orders and click 'Noted'  button                                                                                                                                             </t>
  </si>
  <si>
    <t>Select Order ID-OD5815709 and click 'Noted' button</t>
  </si>
  <si>
    <t>Order should display in Processing orders list.</t>
  </si>
  <si>
    <t>Order display in Processing orders list.</t>
  </si>
  <si>
    <t>View processing orders and can mark as delivered</t>
  </si>
  <si>
    <t xml:space="preserve">1.Click Processing orders in side bar                                                2.Select the orders and click 'Deliverd'  button                                                                                                                                             </t>
  </si>
  <si>
    <t>Select Order ID-OD5815709 and click 'Delivered' button</t>
  </si>
  <si>
    <t>Send notification.</t>
  </si>
  <si>
    <t>Display "Order marked as delivered and notification sent."message</t>
  </si>
  <si>
    <t>Order ID-OD5815709</t>
  </si>
  <si>
    <t>System display the order in order history</t>
  </si>
  <si>
    <t>Generate daily,weekly and monthly report</t>
  </si>
  <si>
    <t xml:space="preserve">1.Click Delivery guy in side bar                                                                                                                                                                                            </t>
  </si>
  <si>
    <t>Edit Name-Ovini jayodhya</t>
  </si>
  <si>
    <t>Profile_6</t>
  </si>
  <si>
    <t xml:space="preserve">1.Click Profile in side bar                                                2.Change password                                                                 3.Click Update button                                                                                                                                  </t>
  </si>
  <si>
    <t>Old password-ovini123                                                              New password-Ovini123@</t>
  </si>
  <si>
    <t>Edit Pssword successfully</t>
  </si>
  <si>
    <t>Click 'Export Daily/Weekly/Monthly report to pdf'</t>
  </si>
  <si>
    <t>Should generate user report/staff report</t>
  </si>
  <si>
    <t>Generate Daily/Weekly/Monthly report</t>
  </si>
  <si>
    <t xml:space="preserve">1.Name- ovini galathure                                                                2.email -ovinij21@gmail.com                                                                  3.phone-  0716077025                                                                                                                                                                                  </t>
  </si>
  <si>
    <t xml:space="preserve">1.Enter Name                                                                    2.Enter email                                                                   3.Enter phone                                                   4.Click 'Submit' button                                                                                                                                                                                                                                              </t>
  </si>
  <si>
    <t>Display "Delivery guy added successfully!"</t>
  </si>
  <si>
    <t>Should generate Daily/Weekly/Monthly report</t>
  </si>
  <si>
    <t>Edit Name-Ovini Galathure</t>
  </si>
  <si>
    <t>Mobile favourite</t>
  </si>
  <si>
    <t>Adding items to favourite</t>
  </si>
  <si>
    <t xml:space="preserve">1.Go to the food ordering application(URL)                                      2.Navigate to the menu page                                                  3.Order same item more than three times                                                      3.Go to home page and Click  "Favourite" in side bar                 </t>
  </si>
  <si>
    <t>Item should display in Favourite</t>
  </si>
  <si>
    <t>Display Biriyani Sawan in Favourite</t>
  </si>
  <si>
    <t>Item-Biriyani Sawan (Place order 4  times)</t>
  </si>
  <si>
    <t>Web drop a comment_1</t>
  </si>
  <si>
    <t>Web drop a comment_2</t>
  </si>
  <si>
    <t>Registered customer Adding a comment about food</t>
  </si>
  <si>
    <t>Unregistered customer Adding a comment about food</t>
  </si>
  <si>
    <t>Display "You must be logged in to add a comment."</t>
  </si>
  <si>
    <t xml:space="preserve">Name-David                                                                   Item-Biriyani sawan                                                        City-Embilipitiya                                                             Comment-Nice                                                                                                                                                                                                                                                                                                                                </t>
  </si>
  <si>
    <t>System should display error message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</si>
</sst>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ont>
    <font>
      <b/>
      <sz val="9"/>
      <color theme="1"/>
      <name val="Calibri"/>
      <family val="2"/>
    </font>
    <font>
      <b/>
      <sz val="9"/>
      <color theme="0"/>
      <name val="Calibri"/>
      <family val="2"/>
    </font>
    <font>
      <sz val="10"/>
      <name val="Arial"/>
      <family val="2"/>
    </font>
    <font>
      <sz val="8"/>
      <name val="Calibri"/>
      <family val="1"/>
      <scheme val="major"/>
    </font>
    <font>
      <b/>
      <sz val="14"/>
      <color theme="0"/>
      <name val="Calibri"/>
      <family val="1"/>
      <scheme val="major"/>
    </font>
    <font>
      <sz val="10"/>
      <color rgb="FF000000"/>
      <name val="Calibri"/>
      <family val="2"/>
    </font>
    <font>
      <sz val="10"/>
      <color theme="1"/>
      <name val="Calibri"/>
      <family val="2"/>
    </font>
    <font>
      <b/>
      <sz val="8"/>
      <color theme="1"/>
      <name val="Calibri"/>
      <family val="1"/>
      <scheme val="major"/>
    </font>
    <font>
      <b/>
      <sz val="10"/>
      <color theme="1"/>
      <name val="Calibri"/>
      <family val="1"/>
      <scheme val="major"/>
    </font>
    <font>
      <sz val="8"/>
      <name val="Calibri"/>
    </font>
    <font>
      <b/>
      <sz val="14"/>
      <color theme="1"/>
      <name val="Tahoma"/>
      <family val="2"/>
    </font>
    <font>
      <b/>
      <sz val="18"/>
      <color theme="1"/>
      <name val="Calibri"/>
      <family val="2"/>
    </font>
  </fonts>
  <fills count="19">
    <fill>
      <patternFill patternType="none"/>
    </fill>
    <fill>
      <patternFill patternType="gray125"/>
    </fill>
    <fill>
      <patternFill patternType="solid">
        <fgColor rgb="FFC5E0B3"/>
        <bgColor rgb="FFC5E0B3"/>
      </patternFill>
    </fill>
    <fill>
      <patternFill patternType="solid">
        <fgColor rgb="FF548135"/>
        <bgColor rgb="FF548135"/>
      </patternFill>
    </fill>
    <fill>
      <patternFill patternType="solid">
        <fgColor rgb="FFFFFFFF"/>
        <bgColor rgb="FFFFFFFF"/>
      </patternFill>
    </fill>
    <fill>
      <patternFill patternType="solid">
        <fgColor theme="0"/>
        <bgColor indexed="64"/>
      </patternFill>
    </fill>
    <fill>
      <patternFill patternType="solid">
        <fgColor theme="9" tint="-0.249977111117893"/>
        <bgColor indexed="64"/>
      </patternFill>
    </fill>
    <fill>
      <patternFill patternType="solid">
        <fgColor theme="9" tint="0.39997558519241921"/>
        <bgColor indexed="26"/>
      </patternFill>
    </fill>
    <fill>
      <patternFill patternType="solid">
        <fgColor theme="0"/>
        <bgColor rgb="FFFFE599"/>
      </patternFill>
    </fill>
    <fill>
      <patternFill patternType="solid">
        <fgColor theme="9" tint="0.79998168889431442"/>
        <bgColor indexed="64"/>
      </patternFill>
    </fill>
    <fill>
      <patternFill patternType="solid">
        <fgColor rgb="FFFFC000"/>
        <bgColor indexed="64"/>
      </patternFill>
    </fill>
    <fill>
      <patternFill patternType="solid">
        <fgColor theme="9" tint="0.39997558519241921"/>
        <bgColor indexed="64"/>
      </patternFill>
    </fill>
    <fill>
      <patternFill patternType="solid">
        <fgColor rgb="FFFFC000"/>
        <bgColor rgb="FFFFFFFF"/>
      </patternFill>
    </fill>
    <fill>
      <patternFill patternType="solid">
        <fgColor rgb="FFFFC000"/>
        <bgColor rgb="FFFFE599"/>
      </patternFill>
    </fill>
    <fill>
      <patternFill patternType="solid">
        <fgColor theme="5" tint="0.39997558519241921"/>
        <bgColor rgb="FFFFFFFF"/>
      </patternFill>
    </fill>
    <fill>
      <patternFill patternType="solid">
        <fgColor theme="5" tint="0.39997558519241921"/>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5" tint="-0.499984740745262"/>
        <bgColor rgb="FFFFFFFF"/>
      </patternFill>
    </fill>
  </fills>
  <borders count="18">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rgb="FF000000"/>
      </left>
      <right style="thin">
        <color rgb="FF000000"/>
      </right>
      <top/>
      <bottom style="thin">
        <color rgb="FF000000"/>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bottom style="thin">
        <color indexed="64"/>
      </bottom>
      <diagonal/>
    </border>
    <border>
      <left style="thin">
        <color rgb="FF000000"/>
      </left>
      <right style="thin">
        <color rgb="FF000000"/>
      </right>
      <top/>
      <bottom/>
      <diagonal/>
    </border>
    <border>
      <left style="thin">
        <color indexed="64"/>
      </left>
      <right style="thin">
        <color indexed="64"/>
      </right>
      <top/>
      <bottom/>
      <diagonal/>
    </border>
    <border>
      <left style="thin">
        <color rgb="FF000000"/>
      </left>
      <right/>
      <top style="thin">
        <color rgb="FF000000"/>
      </top>
      <bottom style="thin">
        <color indexed="64"/>
      </bottom>
      <diagonal/>
    </border>
    <border>
      <left/>
      <right/>
      <top style="thin">
        <color rgb="FF000000"/>
      </top>
      <bottom style="thin">
        <color indexed="64"/>
      </bottom>
      <diagonal/>
    </border>
  </borders>
  <cellStyleXfs count="2">
    <xf numFmtId="0" fontId="0" fillId="0" borderId="0"/>
    <xf numFmtId="0" fontId="3" fillId="0" borderId="3"/>
  </cellStyleXfs>
  <cellXfs count="73">
    <xf numFmtId="0" fontId="0" fillId="0" borderId="0" xfId="0"/>
    <xf numFmtId="0" fontId="1" fillId="2" borderId="1" xfId="0" applyFont="1" applyFill="1" applyBorder="1" applyAlignment="1">
      <alignment horizontal="left" vertical="top" wrapText="1"/>
    </xf>
    <xf numFmtId="0" fontId="0" fillId="5" borderId="0" xfId="0" applyFill="1"/>
    <xf numFmtId="0" fontId="6" fillId="4" borderId="4" xfId="0" applyFont="1" applyFill="1" applyBorder="1" applyAlignment="1">
      <alignment horizontal="left" vertical="top" wrapText="1"/>
    </xf>
    <xf numFmtId="0" fontId="6" fillId="8" borderId="4" xfId="0" applyFont="1" applyFill="1" applyBorder="1" applyAlignment="1">
      <alignment horizontal="left" vertical="top" wrapText="1"/>
    </xf>
    <xf numFmtId="0" fontId="7" fillId="0" borderId="4" xfId="0" applyFont="1" applyBorder="1" applyAlignment="1">
      <alignment horizontal="left" vertical="top" wrapText="1"/>
    </xf>
    <xf numFmtId="0" fontId="4" fillId="0" borderId="8" xfId="1" applyFont="1" applyBorder="1"/>
    <xf numFmtId="0" fontId="7" fillId="5" borderId="0" xfId="0" applyFont="1" applyFill="1"/>
    <xf numFmtId="0" fontId="7" fillId="5" borderId="0" xfId="0" applyFont="1" applyFill="1" applyAlignment="1">
      <alignment horizontal="left" vertical="top" wrapText="1"/>
    </xf>
    <xf numFmtId="0" fontId="9" fillId="7" borderId="4" xfId="1" applyFont="1" applyFill="1" applyBorder="1"/>
    <xf numFmtId="0" fontId="8" fillId="9" borderId="4" xfId="1" applyFont="1" applyFill="1" applyBorder="1"/>
    <xf numFmtId="9" fontId="4" fillId="0" borderId="4" xfId="1" applyNumberFormat="1" applyFont="1" applyBorder="1"/>
    <xf numFmtId="0" fontId="6" fillId="4" borderId="9" xfId="0" applyFont="1" applyFill="1" applyBorder="1" applyAlignment="1">
      <alignment horizontal="left" vertical="top" wrapText="1"/>
    </xf>
    <xf numFmtId="0" fontId="6" fillId="4" borderId="10" xfId="0" applyFont="1" applyFill="1" applyBorder="1" applyAlignment="1">
      <alignment horizontal="left" vertical="top" wrapText="1"/>
    </xf>
    <xf numFmtId="0" fontId="6" fillId="8" borderId="10" xfId="0" applyFont="1" applyFill="1" applyBorder="1" applyAlignment="1">
      <alignment horizontal="left" vertical="top" wrapText="1"/>
    </xf>
    <xf numFmtId="0" fontId="0" fillId="5" borderId="0" xfId="0" applyFill="1" applyAlignment="1">
      <alignment wrapText="1"/>
    </xf>
    <xf numFmtId="0" fontId="9" fillId="7" borderId="4" xfId="1" applyFont="1" applyFill="1" applyBorder="1" applyAlignment="1">
      <alignment wrapText="1"/>
    </xf>
    <xf numFmtId="0" fontId="4" fillId="0" borderId="4" xfId="1" applyFont="1" applyBorder="1" applyAlignment="1">
      <alignment wrapText="1"/>
    </xf>
    <xf numFmtId="0" fontId="4" fillId="0" borderId="8" xfId="1" applyFont="1" applyBorder="1" applyAlignment="1">
      <alignment wrapText="1"/>
    </xf>
    <xf numFmtId="0" fontId="0" fillId="0" borderId="0" xfId="0" applyAlignment="1">
      <alignment wrapText="1"/>
    </xf>
    <xf numFmtId="0" fontId="6" fillId="4" borderId="4" xfId="0" applyFont="1" applyFill="1" applyBorder="1" applyAlignment="1">
      <alignment horizontal="left" vertical="center" wrapText="1"/>
    </xf>
    <xf numFmtId="0" fontId="7" fillId="0" borderId="11" xfId="0" applyFont="1" applyBorder="1" applyAlignment="1">
      <alignment horizontal="left" vertical="top" wrapText="1"/>
    </xf>
    <xf numFmtId="0" fontId="1" fillId="2" borderId="2" xfId="0" applyFont="1" applyFill="1" applyBorder="1" applyAlignment="1">
      <alignment horizontal="left" vertical="top" wrapText="1"/>
    </xf>
    <xf numFmtId="0" fontId="6" fillId="4" borderId="5" xfId="0" applyFont="1" applyFill="1" applyBorder="1" applyAlignment="1">
      <alignment horizontal="left" vertical="top" wrapText="1"/>
    </xf>
    <xf numFmtId="0" fontId="6" fillId="4" borderId="13" xfId="0" applyFont="1" applyFill="1" applyBorder="1" applyAlignment="1">
      <alignment horizontal="left" vertical="top" wrapText="1"/>
    </xf>
    <xf numFmtId="0" fontId="7" fillId="0" borderId="5" xfId="0" applyFont="1" applyBorder="1" applyAlignment="1">
      <alignment horizontal="left" vertical="top" wrapText="1"/>
    </xf>
    <xf numFmtId="0" fontId="7" fillId="0" borderId="12" xfId="0" applyFont="1" applyBorder="1" applyAlignment="1">
      <alignment horizontal="left" vertical="top" wrapText="1"/>
    </xf>
    <xf numFmtId="0" fontId="0" fillId="5" borderId="5" xfId="0" applyFill="1" applyBorder="1"/>
    <xf numFmtId="0" fontId="7" fillId="5" borderId="4" xfId="0" applyFont="1" applyFill="1" applyBorder="1"/>
    <xf numFmtId="0" fontId="0" fillId="6" borderId="0" xfId="0" applyFill="1"/>
    <xf numFmtId="0" fontId="1" fillId="11" borderId="4" xfId="0" applyFont="1" applyFill="1" applyBorder="1"/>
    <xf numFmtId="0" fontId="7" fillId="5" borderId="10" xfId="0" applyFont="1" applyFill="1" applyBorder="1"/>
    <xf numFmtId="0" fontId="6" fillId="4" borderId="14" xfId="0" applyFont="1" applyFill="1" applyBorder="1" applyAlignment="1">
      <alignment horizontal="left" vertical="top" wrapText="1"/>
    </xf>
    <xf numFmtId="0" fontId="6" fillId="4" borderId="15" xfId="0" applyFont="1" applyFill="1" applyBorder="1" applyAlignment="1">
      <alignment horizontal="left" vertical="top" wrapText="1"/>
    </xf>
    <xf numFmtId="0" fontId="0" fillId="10" borderId="5" xfId="0" applyFill="1" applyBorder="1"/>
    <xf numFmtId="0" fontId="0" fillId="10" borderId="6" xfId="0" applyFill="1" applyBorder="1"/>
    <xf numFmtId="0" fontId="0" fillId="10" borderId="7" xfId="0" applyFill="1" applyBorder="1"/>
    <xf numFmtId="0" fontId="6" fillId="4" borderId="11" xfId="0" applyFont="1" applyFill="1" applyBorder="1" applyAlignment="1">
      <alignment horizontal="left" vertical="top" wrapText="1"/>
    </xf>
    <xf numFmtId="0" fontId="6" fillId="8" borderId="11" xfId="0" applyFont="1" applyFill="1" applyBorder="1" applyAlignment="1">
      <alignment horizontal="left" vertical="top" wrapText="1"/>
    </xf>
    <xf numFmtId="0" fontId="6" fillId="4" borderId="12" xfId="0" applyFont="1" applyFill="1" applyBorder="1" applyAlignment="1">
      <alignment horizontal="left" vertical="top" wrapText="1"/>
    </xf>
    <xf numFmtId="0" fontId="7" fillId="5" borderId="11" xfId="0" applyFont="1" applyFill="1" applyBorder="1"/>
    <xf numFmtId="0" fontId="0" fillId="5" borderId="15" xfId="0" applyFill="1" applyBorder="1"/>
    <xf numFmtId="0" fontId="7" fillId="10" borderId="6" xfId="0" applyFont="1" applyFill="1" applyBorder="1"/>
    <xf numFmtId="0" fontId="7" fillId="10" borderId="5" xfId="0" applyFont="1" applyFill="1" applyBorder="1" applyAlignment="1">
      <alignment horizontal="left" vertical="top" wrapText="1"/>
    </xf>
    <xf numFmtId="0" fontId="7" fillId="10" borderId="6" xfId="0" applyFont="1" applyFill="1" applyBorder="1" applyAlignment="1">
      <alignment horizontal="left" vertical="top" wrapText="1"/>
    </xf>
    <xf numFmtId="0" fontId="7" fillId="5" borderId="15" xfId="0" applyFont="1" applyFill="1" applyBorder="1" applyAlignment="1">
      <alignment horizontal="left" vertical="top" wrapText="1"/>
    </xf>
    <xf numFmtId="0" fontId="6" fillId="8" borderId="15" xfId="0" applyFont="1" applyFill="1" applyBorder="1" applyAlignment="1">
      <alignment horizontal="left" vertical="top" wrapText="1"/>
    </xf>
    <xf numFmtId="0" fontId="7" fillId="0" borderId="10" xfId="0" applyFont="1" applyBorder="1" applyAlignment="1">
      <alignment horizontal="left" vertical="top" wrapText="1"/>
    </xf>
    <xf numFmtId="0" fontId="0" fillId="5" borderId="13" xfId="0" applyFill="1" applyBorder="1"/>
    <xf numFmtId="0" fontId="7" fillId="0" borderId="15" xfId="0" applyFont="1" applyBorder="1" applyAlignment="1">
      <alignment horizontal="left" vertical="top" wrapText="1"/>
    </xf>
    <xf numFmtId="0" fontId="0" fillId="5" borderId="12" xfId="0" applyFill="1" applyBorder="1"/>
    <xf numFmtId="0" fontId="0" fillId="5" borderId="11" xfId="0" applyFill="1" applyBorder="1"/>
    <xf numFmtId="0" fontId="7" fillId="10" borderId="6" xfId="0" applyFont="1" applyFill="1" applyBorder="1" applyAlignment="1">
      <alignment horizontal="left" vertical="top"/>
    </xf>
    <xf numFmtId="0" fontId="6" fillId="12" borderId="4" xfId="0" applyFont="1" applyFill="1" applyBorder="1" applyAlignment="1">
      <alignment horizontal="left" vertical="top" wrapText="1"/>
    </xf>
    <xf numFmtId="0" fontId="7" fillId="10" borderId="4" xfId="0" applyFont="1" applyFill="1" applyBorder="1" applyAlignment="1">
      <alignment horizontal="left" vertical="top" wrapText="1"/>
    </xf>
    <xf numFmtId="0" fontId="6" fillId="13" borderId="11" xfId="0" applyFont="1" applyFill="1" applyBorder="1" applyAlignment="1">
      <alignment horizontal="left" vertical="top" wrapText="1"/>
    </xf>
    <xf numFmtId="0" fontId="7" fillId="10" borderId="11" xfId="0" applyFont="1" applyFill="1" applyBorder="1" applyAlignment="1">
      <alignment horizontal="left" vertical="top" wrapText="1"/>
    </xf>
    <xf numFmtId="0" fontId="6" fillId="14" borderId="4" xfId="0" applyFont="1" applyFill="1" applyBorder="1" applyAlignment="1">
      <alignment horizontal="left" vertical="top" wrapText="1"/>
    </xf>
    <xf numFmtId="0" fontId="11" fillId="5" borderId="0" xfId="0" applyFont="1" applyFill="1"/>
    <xf numFmtId="0" fontId="6" fillId="12" borderId="11" xfId="0" applyFont="1" applyFill="1" applyBorder="1" applyAlignment="1">
      <alignment horizontal="left" vertical="top" wrapText="1"/>
    </xf>
    <xf numFmtId="0" fontId="6" fillId="0" borderId="4" xfId="0" applyFont="1" applyBorder="1" applyAlignment="1">
      <alignment horizontal="left" vertical="top" wrapText="1"/>
    </xf>
    <xf numFmtId="0" fontId="0" fillId="5" borderId="4" xfId="0" applyFill="1" applyBorder="1"/>
    <xf numFmtId="0" fontId="12" fillId="5" borderId="0" xfId="0" applyFont="1" applyFill="1"/>
    <xf numFmtId="0" fontId="11" fillId="5" borderId="4" xfId="0" applyFont="1" applyFill="1" applyBorder="1"/>
    <xf numFmtId="0" fontId="11" fillId="15" borderId="4" xfId="0" applyFont="1" applyFill="1" applyBorder="1"/>
    <xf numFmtId="0" fontId="0" fillId="16" borderId="4" xfId="0" applyFill="1" applyBorder="1"/>
    <xf numFmtId="0" fontId="0" fillId="17" borderId="4" xfId="0" applyFill="1" applyBorder="1"/>
    <xf numFmtId="0" fontId="6" fillId="18" borderId="4" xfId="0" applyFont="1" applyFill="1" applyBorder="1" applyAlignment="1">
      <alignment horizontal="left" vertical="top" wrapText="1"/>
    </xf>
    <xf numFmtId="0" fontId="2" fillId="3" borderId="16" xfId="0" applyFont="1" applyFill="1" applyBorder="1" applyAlignment="1">
      <alignment horizontal="left" vertical="top" wrapText="1"/>
    </xf>
    <xf numFmtId="0" fontId="2" fillId="3" borderId="17" xfId="0" applyFont="1" applyFill="1" applyBorder="1" applyAlignment="1">
      <alignment horizontal="left" vertical="top" wrapText="1"/>
    </xf>
    <xf numFmtId="0" fontId="5" fillId="6" borderId="5" xfId="1" applyFont="1" applyFill="1" applyBorder="1" applyAlignment="1">
      <alignment horizontal="left" vertical="center" wrapText="1"/>
    </xf>
    <xf numFmtId="0" fontId="5" fillId="6" borderId="6" xfId="1" applyFont="1" applyFill="1" applyBorder="1" applyAlignment="1">
      <alignment horizontal="left" vertical="center" wrapText="1"/>
    </xf>
    <xf numFmtId="0" fontId="5" fillId="6" borderId="7" xfId="1" applyFont="1" applyFill="1" applyBorder="1" applyAlignment="1">
      <alignment horizontal="left" vertical="center" wrapText="1"/>
    </xf>
  </cellXfs>
  <cellStyles count="2">
    <cellStyle name="Excel Built-in Normal" xfId="1" xr:uid="{00000000-0005-0000-0000-000000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1" Type="http://schemas.openxmlformats.org/officeDocument/2006/relationships/customXml" Target="../customXml/item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E3E664-F14A-4955-9FA8-7B201D081EB4}">
  <dimension ref="A1"/>
  <sheetViews>
    <sheetView workbookViewId="0"/>
  </sheetViews>
  <sheetFormatPr defaultRowHeight="14.4" x14ac:dyDescent="0.3"/>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801E9D-B940-4483-8D15-7E517C47BA08}">
  <dimension ref="A1"/>
  <sheetViews>
    <sheetView workbookViewId="0"/>
  </sheetViews>
  <sheetFormatPr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V519"/>
  <sheetViews>
    <sheetView tabSelected="1" topLeftCell="A17" zoomScale="85" zoomScaleNormal="85" workbookViewId="0">
      <selection activeCell="F115" sqref="F115"/>
    </sheetView>
  </sheetViews>
  <sheetFormatPr defaultRowHeight="14.4" x14ac:dyDescent="0.3"/>
  <cols>
    <col min="1" max="1" width="14.6640625" style="2" customWidth="1"/>
    <col min="2" max="2" width="21.109375" customWidth="1"/>
    <col min="3" max="3" width="22.5546875" style="19" customWidth="1"/>
    <col min="4" max="4" width="39.77734375" customWidth="1"/>
    <col min="5" max="5" width="33.109375" customWidth="1"/>
    <col min="6" max="6" width="35.33203125" customWidth="1"/>
    <col min="7" max="7" width="13.6640625" customWidth="1"/>
    <col min="8" max="8" width="37.33203125" customWidth="1"/>
    <col min="9" max="9" width="10.109375" customWidth="1"/>
    <col min="10" max="10" width="11.109375" style="2" customWidth="1"/>
    <col min="11" max="68" width="8.88671875" style="2"/>
  </cols>
  <sheetData>
    <row r="1" spans="2:100" s="2" customFormat="1" x14ac:dyDescent="0.3">
      <c r="C1" s="15"/>
    </row>
    <row r="2" spans="2:100" ht="18" customHeight="1" x14ac:dyDescent="0.3">
      <c r="B2" s="70" t="s">
        <v>3</v>
      </c>
      <c r="C2" s="71"/>
      <c r="D2" s="72"/>
      <c r="E2" s="2"/>
      <c r="F2" s="2"/>
      <c r="G2" s="2"/>
      <c r="H2" s="2"/>
      <c r="I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row>
    <row r="3" spans="2:100" x14ac:dyDescent="0.3">
      <c r="B3" s="9" t="s">
        <v>4</v>
      </c>
      <c r="C3" s="16" t="s">
        <v>5</v>
      </c>
      <c r="D3" s="9" t="s">
        <v>6</v>
      </c>
      <c r="E3" s="2"/>
      <c r="F3" s="2"/>
      <c r="G3" s="2"/>
      <c r="H3" s="2"/>
      <c r="I3" s="2"/>
      <c r="BQ3" s="2"/>
      <c r="BR3" s="2"/>
      <c r="BS3" s="2"/>
      <c r="BT3" s="2"/>
      <c r="BU3" s="2"/>
      <c r="BV3" s="2"/>
      <c r="BW3" s="2"/>
      <c r="BX3" s="2"/>
      <c r="BY3" s="2"/>
      <c r="BZ3" s="2"/>
      <c r="CA3" s="2"/>
      <c r="CB3" s="2"/>
      <c r="CC3" s="2"/>
      <c r="CD3" s="2"/>
      <c r="CE3" s="2"/>
      <c r="CF3" s="2"/>
      <c r="CG3" s="2"/>
      <c r="CH3" s="2"/>
      <c r="CI3" s="2"/>
      <c r="CJ3" s="2"/>
      <c r="CK3" s="2"/>
      <c r="CL3" s="2"/>
      <c r="CM3" s="2"/>
      <c r="CN3" s="2"/>
      <c r="CO3" s="2"/>
      <c r="CP3" s="2"/>
      <c r="CQ3" s="2"/>
      <c r="CR3" s="2"/>
      <c r="CS3" s="2"/>
      <c r="CT3" s="2"/>
      <c r="CU3" s="2"/>
      <c r="CV3" s="2"/>
    </row>
    <row r="4" spans="2:100" x14ac:dyDescent="0.3">
      <c r="B4" s="10" t="s">
        <v>0</v>
      </c>
      <c r="C4" s="17">
        <f>COUNTIF(G14:G55, "Pass")</f>
        <v>30</v>
      </c>
      <c r="D4" s="11" t="e">
        <f>(C4/C9)</f>
        <v>#REF!</v>
      </c>
      <c r="E4" s="2"/>
      <c r="F4" s="2"/>
      <c r="G4" s="2"/>
      <c r="H4" s="2"/>
      <c r="I4" s="2"/>
      <c r="BQ4" s="2"/>
      <c r="BR4" s="2"/>
      <c r="BS4" s="2"/>
      <c r="BT4" s="2"/>
      <c r="BU4" s="2"/>
      <c r="BV4" s="2"/>
      <c r="BW4" s="2"/>
      <c r="BX4" s="2"/>
      <c r="BY4" s="2"/>
      <c r="BZ4" s="2"/>
      <c r="CA4" s="2"/>
      <c r="CB4" s="2"/>
      <c r="CC4" s="2"/>
      <c r="CD4" s="2"/>
      <c r="CE4" s="2"/>
      <c r="CF4" s="2"/>
      <c r="CG4" s="2"/>
      <c r="CH4" s="2"/>
      <c r="CI4" s="2"/>
      <c r="CJ4" s="2"/>
      <c r="CK4" s="2"/>
      <c r="CL4" s="2"/>
      <c r="CM4" s="2"/>
      <c r="CN4" s="2"/>
      <c r="CO4" s="2"/>
      <c r="CP4" s="2"/>
      <c r="CQ4" s="2"/>
      <c r="CR4" s="2"/>
      <c r="CS4" s="2"/>
      <c r="CT4" s="2"/>
      <c r="CU4" s="2"/>
      <c r="CV4" s="2"/>
    </row>
    <row r="5" spans="2:100" x14ac:dyDescent="0.3">
      <c r="B5" s="10" t="s">
        <v>1</v>
      </c>
      <c r="C5" s="17">
        <f>COUNTIF(G14:G55, "Fail")</f>
        <v>3</v>
      </c>
      <c r="D5" s="11" t="e">
        <f>(C5/C9)</f>
        <v>#REF!</v>
      </c>
      <c r="E5" s="2"/>
      <c r="F5" s="2"/>
      <c r="G5" s="2"/>
      <c r="H5" s="2"/>
      <c r="I5" s="2"/>
      <c r="BQ5" s="2"/>
      <c r="BR5" s="2"/>
      <c r="BS5" s="2"/>
      <c r="BT5" s="2"/>
      <c r="BU5" s="2"/>
      <c r="BV5" s="2"/>
      <c r="BW5" s="2"/>
      <c r="BX5" s="2"/>
      <c r="BY5" s="2"/>
      <c r="BZ5" s="2"/>
      <c r="CA5" s="2"/>
      <c r="CB5" s="2"/>
      <c r="CC5" s="2"/>
      <c r="CD5" s="2"/>
      <c r="CE5" s="2"/>
      <c r="CF5" s="2"/>
      <c r="CG5" s="2"/>
      <c r="CH5" s="2"/>
      <c r="CI5" s="2"/>
      <c r="CJ5" s="2"/>
      <c r="CK5" s="2"/>
      <c r="CL5" s="2"/>
      <c r="CM5" s="2"/>
      <c r="CN5" s="2"/>
      <c r="CO5" s="2"/>
      <c r="CP5" s="2"/>
      <c r="CQ5" s="2"/>
      <c r="CR5" s="2"/>
      <c r="CS5" s="2"/>
      <c r="CT5" s="2"/>
      <c r="CU5" s="2"/>
      <c r="CV5" s="2"/>
    </row>
    <row r="6" spans="2:100" x14ac:dyDescent="0.3">
      <c r="B6" s="10" t="s">
        <v>2</v>
      </c>
      <c r="C6" s="17">
        <f>COUNTIF(G14:G55, "On hold")</f>
        <v>0</v>
      </c>
      <c r="D6" s="11" t="e">
        <f>(C6/C9)</f>
        <v>#REF!</v>
      </c>
      <c r="E6" s="2"/>
      <c r="F6" s="2"/>
      <c r="G6" s="2"/>
      <c r="H6" s="2"/>
      <c r="I6" s="2"/>
      <c r="BQ6" s="2"/>
      <c r="BR6" s="2"/>
      <c r="BS6" s="2"/>
      <c r="BT6" s="2"/>
      <c r="BU6" s="2"/>
      <c r="BV6" s="2"/>
      <c r="BW6" s="2"/>
      <c r="BX6" s="2"/>
      <c r="BY6" s="2"/>
      <c r="BZ6" s="2"/>
      <c r="CA6" s="2"/>
      <c r="CB6" s="2"/>
      <c r="CC6" s="2"/>
      <c r="CD6" s="2"/>
      <c r="CE6" s="2"/>
      <c r="CF6" s="2"/>
      <c r="CG6" s="2"/>
      <c r="CH6" s="2"/>
      <c r="CI6" s="2"/>
      <c r="CJ6" s="2"/>
      <c r="CK6" s="2"/>
      <c r="CL6" s="2"/>
      <c r="CM6" s="2"/>
      <c r="CN6" s="2"/>
      <c r="CO6" s="2"/>
      <c r="CP6" s="2"/>
      <c r="CQ6" s="2"/>
      <c r="CR6" s="2"/>
      <c r="CS6" s="2"/>
      <c r="CT6" s="2"/>
      <c r="CU6" s="2"/>
      <c r="CV6" s="2"/>
    </row>
    <row r="7" spans="2:100" x14ac:dyDescent="0.3">
      <c r="B7" s="10" t="s">
        <v>7</v>
      </c>
      <c r="C7" s="17">
        <f>COUNTIF(G14:G55, "Not Executed")</f>
        <v>0</v>
      </c>
      <c r="D7" s="11" t="e">
        <f>(C7/C9)</f>
        <v>#REF!</v>
      </c>
      <c r="E7" s="2"/>
      <c r="F7" s="2"/>
      <c r="G7" s="2"/>
      <c r="H7" s="2"/>
      <c r="I7" s="2"/>
      <c r="BQ7" s="2"/>
      <c r="BR7" s="2"/>
      <c r="BS7" s="2"/>
      <c r="BT7" s="2"/>
      <c r="BU7" s="2"/>
      <c r="BV7" s="2"/>
      <c r="BW7" s="2"/>
      <c r="BX7" s="2"/>
      <c r="BY7" s="2"/>
      <c r="BZ7" s="2"/>
      <c r="CA7" s="2"/>
      <c r="CB7" s="2"/>
      <c r="CC7" s="2"/>
      <c r="CD7" s="2"/>
      <c r="CE7" s="2"/>
      <c r="CF7" s="2"/>
      <c r="CG7" s="2"/>
      <c r="CH7" s="2"/>
      <c r="CI7" s="2"/>
      <c r="CJ7" s="2"/>
      <c r="CK7" s="2"/>
      <c r="CL7" s="2"/>
      <c r="CM7" s="2"/>
      <c r="CN7" s="2"/>
      <c r="CO7" s="2"/>
      <c r="CP7" s="2"/>
      <c r="CQ7" s="2"/>
      <c r="CR7" s="2"/>
      <c r="CS7" s="2"/>
      <c r="CT7" s="2"/>
      <c r="CU7" s="2"/>
      <c r="CV7" s="2"/>
    </row>
    <row r="8" spans="2:100" x14ac:dyDescent="0.3">
      <c r="B8" s="10" t="s">
        <v>8</v>
      </c>
      <c r="C8" s="17">
        <f>SUM(C4:C7)</f>
        <v>33</v>
      </c>
      <c r="D8" s="11" t="e">
        <f>(C8/C9)</f>
        <v>#REF!</v>
      </c>
      <c r="E8" s="2"/>
      <c r="F8" s="2"/>
      <c r="G8" s="2"/>
      <c r="H8" s="2"/>
      <c r="I8" s="2"/>
      <c r="BQ8" s="2"/>
      <c r="BR8" s="2"/>
      <c r="BS8" s="2"/>
      <c r="BT8" s="2"/>
      <c r="BU8" s="2"/>
      <c r="BV8" s="2"/>
      <c r="BW8" s="2"/>
      <c r="BX8" s="2"/>
      <c r="BY8" s="2"/>
      <c r="BZ8" s="2"/>
      <c r="CA8" s="2"/>
      <c r="CB8" s="2"/>
      <c r="CC8" s="2"/>
      <c r="CD8" s="2"/>
      <c r="CE8" s="2"/>
      <c r="CF8" s="2"/>
      <c r="CG8" s="2"/>
      <c r="CH8" s="2"/>
      <c r="CI8" s="2"/>
      <c r="CJ8" s="2"/>
      <c r="CK8" s="2"/>
      <c r="CL8" s="2"/>
      <c r="CM8" s="2"/>
      <c r="CN8" s="2"/>
      <c r="CO8" s="2"/>
      <c r="CP8" s="2"/>
      <c r="CQ8" s="2"/>
      <c r="CR8" s="2"/>
      <c r="CS8" s="2"/>
      <c r="CT8" s="2"/>
      <c r="CU8" s="2"/>
      <c r="CV8" s="2"/>
    </row>
    <row r="9" spans="2:100" ht="15" thickBot="1" x14ac:dyDescent="0.35">
      <c r="B9" s="10" t="s">
        <v>9</v>
      </c>
      <c r="C9" s="18" t="e">
        <f>COUNTIF(#REF!, "1")</f>
        <v>#REF!</v>
      </c>
      <c r="D9" s="6"/>
    </row>
    <row r="10" spans="2:100" s="2" customFormat="1" x14ac:dyDescent="0.3">
      <c r="C10" s="15"/>
    </row>
    <row r="11" spans="2:100" s="2" customFormat="1" x14ac:dyDescent="0.3">
      <c r="C11" s="15"/>
    </row>
    <row r="12" spans="2:100" ht="27.6" customHeight="1" x14ac:dyDescent="0.3">
      <c r="B12" s="1" t="s">
        <v>10</v>
      </c>
      <c r="C12" s="1" t="s">
        <v>11</v>
      </c>
      <c r="D12" s="1" t="s">
        <v>12</v>
      </c>
      <c r="E12" s="1" t="s">
        <v>13</v>
      </c>
      <c r="F12" s="1" t="s">
        <v>14</v>
      </c>
      <c r="G12" s="1" t="s">
        <v>4</v>
      </c>
      <c r="H12" s="1" t="s">
        <v>42</v>
      </c>
      <c r="I12" s="22" t="s">
        <v>15</v>
      </c>
      <c r="J12" s="30" t="s">
        <v>16</v>
      </c>
    </row>
    <row r="13" spans="2:100" x14ac:dyDescent="0.3">
      <c r="B13" s="68"/>
      <c r="C13" s="69"/>
      <c r="D13" s="69"/>
      <c r="E13" s="69"/>
      <c r="F13" s="69"/>
      <c r="G13" s="69"/>
      <c r="H13" s="69"/>
      <c r="I13" s="69"/>
      <c r="J13" s="29"/>
      <c r="BP13"/>
    </row>
    <row r="14" spans="2:100" ht="55.2" x14ac:dyDescent="0.3">
      <c r="B14" s="3" t="s">
        <v>47</v>
      </c>
      <c r="C14" s="3" t="s">
        <v>22</v>
      </c>
      <c r="D14" s="20" t="s">
        <v>24</v>
      </c>
      <c r="E14" s="3" t="s">
        <v>102</v>
      </c>
      <c r="F14" s="3" t="s">
        <v>17</v>
      </c>
      <c r="G14" s="4" t="s">
        <v>0</v>
      </c>
      <c r="H14" s="3" t="s">
        <v>222</v>
      </c>
      <c r="I14" s="23"/>
      <c r="J14" s="28" t="s">
        <v>39</v>
      </c>
    </row>
    <row r="15" spans="2:100" ht="69" x14ac:dyDescent="0.3">
      <c r="B15" s="3" t="s">
        <v>48</v>
      </c>
      <c r="C15" s="3" t="s">
        <v>23</v>
      </c>
      <c r="D15" s="3" t="s">
        <v>25</v>
      </c>
      <c r="E15" s="3" t="s">
        <v>223</v>
      </c>
      <c r="F15" s="3" t="s">
        <v>32</v>
      </c>
      <c r="G15" s="4" t="s">
        <v>0</v>
      </c>
      <c r="H15" s="3" t="s">
        <v>43</v>
      </c>
      <c r="I15" s="23"/>
      <c r="J15" s="28" t="s">
        <v>39</v>
      </c>
    </row>
    <row r="16" spans="2:100" ht="69" x14ac:dyDescent="0.3">
      <c r="B16" s="3" t="s">
        <v>49</v>
      </c>
      <c r="C16" s="13" t="s">
        <v>19</v>
      </c>
      <c r="D16" s="13" t="s">
        <v>26</v>
      </c>
      <c r="E16" s="3" t="s">
        <v>224</v>
      </c>
      <c r="F16" s="13" t="s">
        <v>44</v>
      </c>
      <c r="G16" s="14" t="s">
        <v>0</v>
      </c>
      <c r="H16" s="3" t="s">
        <v>98</v>
      </c>
      <c r="I16" s="24"/>
      <c r="J16" s="28" t="s">
        <v>39</v>
      </c>
    </row>
    <row r="17" spans="2:10" ht="69" customHeight="1" x14ac:dyDescent="0.3">
      <c r="B17" s="3" t="s">
        <v>50</v>
      </c>
      <c r="C17" s="3" t="s">
        <v>20</v>
      </c>
      <c r="D17" s="3" t="s">
        <v>27</v>
      </c>
      <c r="E17" s="3" t="s">
        <v>225</v>
      </c>
      <c r="F17" s="13" t="s">
        <v>44</v>
      </c>
      <c r="G17" s="4" t="s">
        <v>0</v>
      </c>
      <c r="H17" s="3" t="s">
        <v>98</v>
      </c>
      <c r="I17" s="23"/>
      <c r="J17" s="28" t="s">
        <v>39</v>
      </c>
    </row>
    <row r="18" spans="2:10" ht="69.599999999999994" customHeight="1" x14ac:dyDescent="0.3">
      <c r="B18" s="3" t="s">
        <v>51</v>
      </c>
      <c r="C18" s="37" t="s">
        <v>21</v>
      </c>
      <c r="D18" s="37" t="s">
        <v>28</v>
      </c>
      <c r="E18" s="3" t="s">
        <v>221</v>
      </c>
      <c r="F18" s="33" t="s">
        <v>44</v>
      </c>
      <c r="G18" s="38" t="s">
        <v>0</v>
      </c>
      <c r="H18" s="3" t="s">
        <v>98</v>
      </c>
      <c r="I18" s="39"/>
      <c r="J18" s="40" t="s">
        <v>39</v>
      </c>
    </row>
    <row r="19" spans="2:10" ht="69.599999999999994" customHeight="1" x14ac:dyDescent="0.3">
      <c r="B19" s="37" t="s">
        <v>96</v>
      </c>
      <c r="C19" s="21" t="s">
        <v>94</v>
      </c>
      <c r="D19" s="37" t="s">
        <v>95</v>
      </c>
      <c r="E19" s="37" t="s">
        <v>97</v>
      </c>
      <c r="F19" s="37" t="s">
        <v>17</v>
      </c>
      <c r="G19" s="38" t="s">
        <v>0</v>
      </c>
      <c r="H19" s="37" t="s">
        <v>98</v>
      </c>
      <c r="I19" s="39"/>
      <c r="J19" s="40" t="s">
        <v>39</v>
      </c>
    </row>
    <row r="20" spans="2:10" ht="13.8" customHeight="1" x14ac:dyDescent="0.3">
      <c r="B20" s="53"/>
      <c r="C20" s="53"/>
      <c r="D20" s="53"/>
      <c r="E20" s="53"/>
      <c r="F20" s="53"/>
      <c r="G20" s="53"/>
      <c r="H20" s="53"/>
      <c r="I20" s="53"/>
      <c r="J20" s="53"/>
    </row>
    <row r="21" spans="2:10" s="2" customFormat="1" ht="54" customHeight="1" x14ac:dyDescent="0.3">
      <c r="B21" s="32" t="s">
        <v>45</v>
      </c>
      <c r="C21" s="32" t="s">
        <v>45</v>
      </c>
      <c r="D21" s="33" t="s">
        <v>62</v>
      </c>
      <c r="E21" s="13" t="s">
        <v>226</v>
      </c>
      <c r="F21" s="45" t="s">
        <v>46</v>
      </c>
      <c r="G21" s="45" t="s">
        <v>0</v>
      </c>
      <c r="H21" s="45" t="s">
        <v>76</v>
      </c>
      <c r="I21" s="41"/>
      <c r="J21" s="41" t="s">
        <v>39</v>
      </c>
    </row>
    <row r="22" spans="2:10" s="2" customFormat="1" ht="14.4" customHeight="1" x14ac:dyDescent="0.3">
      <c r="B22" s="34"/>
      <c r="C22" s="35"/>
      <c r="D22" s="35"/>
      <c r="E22" s="35"/>
      <c r="F22" s="35"/>
      <c r="G22" s="35"/>
      <c r="H22" s="35"/>
      <c r="I22" s="35"/>
      <c r="J22" s="36"/>
    </row>
    <row r="23" spans="2:10" ht="55.2" x14ac:dyDescent="0.3">
      <c r="B23" s="12" t="s">
        <v>52</v>
      </c>
      <c r="C23" s="13" t="s">
        <v>29</v>
      </c>
      <c r="D23" s="13" t="s">
        <v>63</v>
      </c>
      <c r="E23" s="13" t="s">
        <v>30</v>
      </c>
      <c r="F23" s="13" t="s">
        <v>17</v>
      </c>
      <c r="G23" s="14" t="s">
        <v>0</v>
      </c>
      <c r="H23" s="13" t="s">
        <v>227</v>
      </c>
      <c r="I23" s="24"/>
      <c r="J23" s="31" t="s">
        <v>39</v>
      </c>
    </row>
    <row r="24" spans="2:10" ht="151.19999999999999" customHeight="1" x14ac:dyDescent="0.3">
      <c r="B24" s="12" t="s">
        <v>53</v>
      </c>
      <c r="C24" s="5" t="s">
        <v>31</v>
      </c>
      <c r="D24" s="5" t="s">
        <v>103</v>
      </c>
      <c r="E24" s="5" t="s">
        <v>228</v>
      </c>
      <c r="F24" s="5" t="s">
        <v>64</v>
      </c>
      <c r="G24" s="14" t="s">
        <v>0</v>
      </c>
      <c r="H24" s="5" t="s">
        <v>65</v>
      </c>
      <c r="I24" s="25"/>
      <c r="J24" s="28" t="s">
        <v>39</v>
      </c>
    </row>
    <row r="25" spans="2:10" ht="145.80000000000001" customHeight="1" x14ac:dyDescent="0.3">
      <c r="B25" s="12" t="s">
        <v>54</v>
      </c>
      <c r="C25" s="5" t="s">
        <v>18</v>
      </c>
      <c r="D25" s="5" t="s">
        <v>105</v>
      </c>
      <c r="E25" s="5" t="s">
        <v>104</v>
      </c>
      <c r="F25" s="5" t="s">
        <v>17</v>
      </c>
      <c r="G25" s="14" t="s">
        <v>0</v>
      </c>
      <c r="H25" s="5" t="s">
        <v>66</v>
      </c>
      <c r="I25" s="25"/>
      <c r="J25" s="28" t="s">
        <v>39</v>
      </c>
    </row>
    <row r="26" spans="2:10" ht="145.80000000000001" customHeight="1" x14ac:dyDescent="0.3">
      <c r="B26" s="12" t="s">
        <v>55</v>
      </c>
      <c r="C26" s="5" t="s">
        <v>33</v>
      </c>
      <c r="D26" s="5" t="s">
        <v>106</v>
      </c>
      <c r="E26" s="5" t="s">
        <v>107</v>
      </c>
      <c r="F26" s="5" t="s">
        <v>17</v>
      </c>
      <c r="G26" s="14" t="s">
        <v>1</v>
      </c>
      <c r="H26" s="5" t="s">
        <v>65</v>
      </c>
      <c r="I26" s="25"/>
      <c r="J26" s="28" t="s">
        <v>39</v>
      </c>
    </row>
    <row r="27" spans="2:10" ht="145.19999999999999" customHeight="1" x14ac:dyDescent="0.3">
      <c r="B27" s="12" t="s">
        <v>56</v>
      </c>
      <c r="C27" s="5" t="s">
        <v>34</v>
      </c>
      <c r="D27" s="5" t="s">
        <v>108</v>
      </c>
      <c r="E27" s="5" t="s">
        <v>109</v>
      </c>
      <c r="F27" s="5" t="s">
        <v>17</v>
      </c>
      <c r="G27" s="14" t="s">
        <v>0</v>
      </c>
      <c r="H27" s="5" t="s">
        <v>67</v>
      </c>
      <c r="I27" s="25"/>
      <c r="J27" s="28" t="s">
        <v>39</v>
      </c>
    </row>
    <row r="28" spans="2:10" ht="141.6" customHeight="1" x14ac:dyDescent="0.3">
      <c r="B28" s="12" t="s">
        <v>57</v>
      </c>
      <c r="C28" s="5" t="s">
        <v>35</v>
      </c>
      <c r="D28" s="5" t="s">
        <v>110</v>
      </c>
      <c r="E28" s="5" t="s">
        <v>111</v>
      </c>
      <c r="F28" s="5" t="s">
        <v>17</v>
      </c>
      <c r="G28" s="14" t="s">
        <v>0</v>
      </c>
      <c r="H28" s="5" t="s">
        <v>67</v>
      </c>
      <c r="I28" s="25"/>
      <c r="J28" s="28" t="s">
        <v>39</v>
      </c>
    </row>
    <row r="29" spans="2:10" ht="147.6" customHeight="1" x14ac:dyDescent="0.3">
      <c r="B29" s="12" t="s">
        <v>58</v>
      </c>
      <c r="C29" s="5" t="s">
        <v>36</v>
      </c>
      <c r="D29" s="5" t="s">
        <v>112</v>
      </c>
      <c r="E29" s="5" t="s">
        <v>113</v>
      </c>
      <c r="F29" s="5" t="s">
        <v>17</v>
      </c>
      <c r="G29" s="14" t="s">
        <v>1</v>
      </c>
      <c r="H29" s="5" t="s">
        <v>67</v>
      </c>
      <c r="I29" s="25"/>
      <c r="J29" s="28" t="s">
        <v>39</v>
      </c>
    </row>
    <row r="30" spans="2:10" ht="143.4" customHeight="1" x14ac:dyDescent="0.3">
      <c r="B30" s="12" t="s">
        <v>59</v>
      </c>
      <c r="C30" s="5" t="s">
        <v>37</v>
      </c>
      <c r="D30" s="5" t="s">
        <v>114</v>
      </c>
      <c r="E30" s="5" t="s">
        <v>115</v>
      </c>
      <c r="F30" s="5" t="s">
        <v>17</v>
      </c>
      <c r="G30" s="14" t="s">
        <v>0</v>
      </c>
      <c r="H30" s="5" t="s">
        <v>67</v>
      </c>
      <c r="I30" s="25"/>
      <c r="J30" s="28" t="s">
        <v>39</v>
      </c>
    </row>
    <row r="31" spans="2:10" ht="145.80000000000001" customHeight="1" x14ac:dyDescent="0.3">
      <c r="B31" s="12" t="s">
        <v>60</v>
      </c>
      <c r="C31" s="21" t="s">
        <v>38</v>
      </c>
      <c r="D31" s="5" t="s">
        <v>116</v>
      </c>
      <c r="E31" s="5" t="s">
        <v>117</v>
      </c>
      <c r="F31" s="21" t="s">
        <v>17</v>
      </c>
      <c r="G31" s="14" t="s">
        <v>0</v>
      </c>
      <c r="H31" s="5" t="s">
        <v>67</v>
      </c>
      <c r="I31" s="26" t="s">
        <v>40</v>
      </c>
      <c r="J31" s="28" t="s">
        <v>39</v>
      </c>
    </row>
    <row r="32" spans="2:10" ht="144.6" customHeight="1" x14ac:dyDescent="0.3">
      <c r="B32" s="32" t="s">
        <v>61</v>
      </c>
      <c r="C32" s="21" t="s">
        <v>41</v>
      </c>
      <c r="D32" s="5" t="s">
        <v>118</v>
      </c>
      <c r="E32" s="21" t="s">
        <v>119</v>
      </c>
      <c r="F32" s="21" t="s">
        <v>17</v>
      </c>
      <c r="G32" s="46" t="s">
        <v>0</v>
      </c>
      <c r="H32" s="21" t="s">
        <v>67</v>
      </c>
      <c r="I32" s="26"/>
      <c r="J32" s="40" t="s">
        <v>39</v>
      </c>
    </row>
    <row r="33" spans="2:68" ht="144.6" customHeight="1" x14ac:dyDescent="0.3">
      <c r="B33" s="3" t="s">
        <v>120</v>
      </c>
      <c r="C33" s="21" t="s">
        <v>41</v>
      </c>
      <c r="D33" s="5" t="s">
        <v>232</v>
      </c>
      <c r="E33" s="21" t="s">
        <v>121</v>
      </c>
      <c r="F33" s="21" t="s">
        <v>17</v>
      </c>
      <c r="G33" s="4" t="s">
        <v>0</v>
      </c>
      <c r="H33" s="21" t="s">
        <v>67</v>
      </c>
      <c r="I33" s="26"/>
      <c r="J33" s="40" t="s">
        <v>39</v>
      </c>
    </row>
    <row r="34" spans="2:68" ht="156.6" customHeight="1" x14ac:dyDescent="0.3">
      <c r="B34" s="3" t="s">
        <v>229</v>
      </c>
      <c r="C34" s="21" t="s">
        <v>230</v>
      </c>
      <c r="D34" s="5" t="s">
        <v>231</v>
      </c>
      <c r="E34" s="21" t="s">
        <v>233</v>
      </c>
      <c r="F34" s="21" t="s">
        <v>17</v>
      </c>
      <c r="G34" s="4" t="s">
        <v>0</v>
      </c>
      <c r="H34" s="26" t="s">
        <v>234</v>
      </c>
      <c r="I34" s="26"/>
      <c r="J34" s="40" t="s">
        <v>39</v>
      </c>
    </row>
    <row r="35" spans="2:68" ht="14.4" customHeight="1" x14ac:dyDescent="0.3">
      <c r="B35" s="34"/>
      <c r="C35" s="34"/>
      <c r="D35" s="34"/>
      <c r="E35" s="34"/>
      <c r="F35" s="34"/>
      <c r="G35" s="34"/>
      <c r="H35" s="34"/>
      <c r="I35" s="34"/>
      <c r="J35" s="34"/>
      <c r="BH35"/>
      <c r="BI35"/>
      <c r="BJ35"/>
      <c r="BK35"/>
      <c r="BL35"/>
      <c r="BM35"/>
      <c r="BN35"/>
      <c r="BO35"/>
      <c r="BP35"/>
    </row>
    <row r="36" spans="2:68" s="2" customFormat="1" ht="58.95" customHeight="1" x14ac:dyDescent="0.3">
      <c r="B36" s="12" t="s">
        <v>68</v>
      </c>
      <c r="C36" s="47" t="s">
        <v>73</v>
      </c>
      <c r="D36" s="21" t="s">
        <v>69</v>
      </c>
      <c r="E36" s="21" t="s">
        <v>122</v>
      </c>
      <c r="F36" s="21" t="s">
        <v>124</v>
      </c>
      <c r="G36" s="46" t="s">
        <v>0</v>
      </c>
      <c r="H36" s="21" t="s">
        <v>126</v>
      </c>
      <c r="I36" s="48"/>
      <c r="J36" s="31" t="s">
        <v>39</v>
      </c>
      <c r="K36" s="8"/>
      <c r="L36" s="8"/>
      <c r="M36" s="8"/>
      <c r="N36" s="8"/>
      <c r="O36" s="8"/>
      <c r="P36" s="8"/>
      <c r="Q36" s="8"/>
      <c r="R36" s="7"/>
    </row>
    <row r="37" spans="2:68" s="2" customFormat="1" ht="55.2" x14ac:dyDescent="0.3">
      <c r="B37" s="32" t="s">
        <v>70</v>
      </c>
      <c r="C37" s="49" t="s">
        <v>72</v>
      </c>
      <c r="D37" s="21" t="s">
        <v>77</v>
      </c>
      <c r="E37" s="21" t="s">
        <v>123</v>
      </c>
      <c r="F37" s="21" t="s">
        <v>125</v>
      </c>
      <c r="G37" s="38" t="s">
        <v>0</v>
      </c>
      <c r="H37" s="21" t="s">
        <v>127</v>
      </c>
      <c r="I37" s="50"/>
      <c r="J37" s="40" t="s">
        <v>39</v>
      </c>
      <c r="K37" s="8"/>
      <c r="L37" s="8"/>
      <c r="M37" s="8"/>
      <c r="N37" s="8"/>
      <c r="O37" s="8"/>
      <c r="P37" s="8"/>
      <c r="Q37" s="8"/>
      <c r="R37" s="7"/>
    </row>
    <row r="38" spans="2:68" s="2" customFormat="1" ht="13.8" customHeight="1" x14ac:dyDescent="0.3">
      <c r="B38" s="43"/>
      <c r="C38" s="44"/>
      <c r="D38" s="44"/>
      <c r="E38" s="44"/>
      <c r="F38" s="44"/>
      <c r="G38" s="44"/>
      <c r="H38" s="44"/>
      <c r="I38" s="42"/>
      <c r="J38" s="36"/>
    </row>
    <row r="39" spans="2:68" s="2" customFormat="1" ht="100.2" customHeight="1" x14ac:dyDescent="0.3">
      <c r="B39" s="32" t="s">
        <v>71</v>
      </c>
      <c r="C39" s="49" t="s">
        <v>218</v>
      </c>
      <c r="D39" s="21" t="s">
        <v>99</v>
      </c>
      <c r="E39" s="21" t="s">
        <v>74</v>
      </c>
      <c r="F39" s="21" t="s">
        <v>75</v>
      </c>
      <c r="G39" s="38" t="s">
        <v>0</v>
      </c>
      <c r="H39" s="21" t="s">
        <v>235</v>
      </c>
      <c r="I39" s="51"/>
      <c r="J39" s="51" t="s">
        <v>39</v>
      </c>
      <c r="K39" s="8"/>
      <c r="L39" s="8"/>
      <c r="M39" s="8"/>
      <c r="N39" s="8"/>
      <c r="O39" s="8"/>
      <c r="P39" s="8"/>
      <c r="Q39" s="8"/>
      <c r="R39" s="7"/>
    </row>
    <row r="40" spans="2:68" s="2" customFormat="1" ht="100.2" customHeight="1" x14ac:dyDescent="0.3">
      <c r="B40" s="3" t="s">
        <v>219</v>
      </c>
      <c r="C40" s="5" t="s">
        <v>220</v>
      </c>
      <c r="D40" s="21" t="s">
        <v>237</v>
      </c>
      <c r="E40" s="21" t="s">
        <v>236</v>
      </c>
      <c r="F40" s="21" t="s">
        <v>75</v>
      </c>
      <c r="G40" s="38" t="s">
        <v>0</v>
      </c>
      <c r="H40" s="21" t="s">
        <v>238</v>
      </c>
      <c r="I40" s="3"/>
      <c r="J40" s="51" t="s">
        <v>39</v>
      </c>
      <c r="K40" s="8"/>
      <c r="L40" s="8"/>
      <c r="M40" s="8"/>
      <c r="N40" s="8"/>
      <c r="O40" s="8"/>
      <c r="P40" s="8"/>
      <c r="Q40" s="8"/>
      <c r="R40" s="7"/>
    </row>
    <row r="41" spans="2:68" s="2" customFormat="1" ht="14.4" customHeight="1" x14ac:dyDescent="0.3">
      <c r="B41" s="43"/>
      <c r="C41" s="44"/>
      <c r="D41" s="44"/>
      <c r="E41" s="44"/>
      <c r="F41" s="44"/>
      <c r="G41" s="44"/>
      <c r="H41" s="44"/>
      <c r="I41" s="42"/>
      <c r="J41" s="36"/>
    </row>
    <row r="42" spans="2:68" s="2" customFormat="1" ht="72" customHeight="1" x14ac:dyDescent="0.3">
      <c r="B42" s="37" t="s">
        <v>78</v>
      </c>
      <c r="C42" s="49" t="s">
        <v>87</v>
      </c>
      <c r="D42" s="21" t="s">
        <v>89</v>
      </c>
      <c r="E42" s="21" t="s">
        <v>90</v>
      </c>
      <c r="F42" s="21" t="s">
        <v>80</v>
      </c>
      <c r="G42" s="46" t="s">
        <v>0</v>
      </c>
      <c r="H42" s="21" t="s">
        <v>81</v>
      </c>
      <c r="I42" s="48"/>
      <c r="J42" s="51" t="s">
        <v>39</v>
      </c>
      <c r="K42" s="8"/>
      <c r="L42" s="8"/>
      <c r="M42" s="8"/>
      <c r="N42" s="8"/>
      <c r="O42" s="8"/>
      <c r="P42" s="8"/>
      <c r="Q42" s="8"/>
      <c r="R42" s="7"/>
    </row>
    <row r="43" spans="2:68" s="2" customFormat="1" ht="62.4" customHeight="1" x14ac:dyDescent="0.3">
      <c r="B43" s="37" t="s">
        <v>79</v>
      </c>
      <c r="C43" s="5" t="s">
        <v>88</v>
      </c>
      <c r="D43" s="21" t="s">
        <v>92</v>
      </c>
      <c r="E43" s="21" t="s">
        <v>91</v>
      </c>
      <c r="F43" s="21" t="s">
        <v>80</v>
      </c>
      <c r="G43" s="38" t="s">
        <v>0</v>
      </c>
      <c r="H43" s="21" t="s">
        <v>82</v>
      </c>
      <c r="I43" s="50"/>
      <c r="J43" s="51" t="s">
        <v>39</v>
      </c>
      <c r="K43" s="8"/>
      <c r="L43" s="8"/>
      <c r="M43" s="8"/>
      <c r="N43" s="8"/>
      <c r="O43" s="8"/>
      <c r="P43" s="8"/>
      <c r="Q43" s="8"/>
      <c r="R43" s="7"/>
    </row>
    <row r="44" spans="2:68" s="2" customFormat="1" ht="13.8" customHeight="1" x14ac:dyDescent="0.3">
      <c r="B44" s="43"/>
      <c r="C44" s="52"/>
      <c r="D44" s="44"/>
      <c r="E44" s="44"/>
      <c r="F44" s="44"/>
      <c r="G44" s="44"/>
      <c r="H44" s="44"/>
      <c r="I44" s="35"/>
      <c r="J44" s="36"/>
    </row>
    <row r="45" spans="2:68" s="2" customFormat="1" ht="69.599999999999994" customHeight="1" x14ac:dyDescent="0.3">
      <c r="B45" s="37" t="s">
        <v>128</v>
      </c>
      <c r="C45" s="21" t="s">
        <v>83</v>
      </c>
      <c r="D45" s="21" t="s">
        <v>84</v>
      </c>
      <c r="E45" s="21" t="s">
        <v>85</v>
      </c>
      <c r="F45" s="21" t="s">
        <v>86</v>
      </c>
      <c r="G45" s="38" t="s">
        <v>0</v>
      </c>
      <c r="H45" s="21" t="s">
        <v>239</v>
      </c>
      <c r="I45" s="50"/>
      <c r="J45" s="51" t="s">
        <v>39</v>
      </c>
      <c r="K45" s="8"/>
      <c r="L45" s="8"/>
      <c r="M45" s="8"/>
      <c r="N45" s="8"/>
      <c r="O45" s="8"/>
      <c r="P45" s="8"/>
      <c r="Q45" s="8"/>
    </row>
    <row r="46" spans="2:68" s="2" customFormat="1" ht="13.8" customHeight="1" x14ac:dyDescent="0.3">
      <c r="B46" s="43"/>
      <c r="C46" s="44"/>
      <c r="D46" s="44"/>
      <c r="E46" s="44"/>
      <c r="F46" s="44"/>
      <c r="G46" s="44"/>
      <c r="H46" s="44"/>
      <c r="I46" s="35"/>
      <c r="J46" s="36"/>
    </row>
    <row r="47" spans="2:68" s="2" customFormat="1" ht="87.6" customHeight="1" x14ac:dyDescent="0.3">
      <c r="B47" s="37" t="s">
        <v>129</v>
      </c>
      <c r="C47" s="21" t="s">
        <v>93</v>
      </c>
      <c r="D47" s="21" t="s">
        <v>132</v>
      </c>
      <c r="E47" s="21" t="s">
        <v>85</v>
      </c>
      <c r="F47" s="21" t="s">
        <v>100</v>
      </c>
      <c r="G47" s="38" t="s">
        <v>0</v>
      </c>
      <c r="H47" s="21" t="s">
        <v>100</v>
      </c>
      <c r="I47" s="50"/>
      <c r="J47" s="51" t="s">
        <v>39</v>
      </c>
      <c r="K47" s="8"/>
      <c r="L47" s="8"/>
      <c r="M47" s="8"/>
      <c r="N47" s="8"/>
      <c r="O47" s="8"/>
      <c r="P47" s="8"/>
      <c r="Q47" s="8"/>
    </row>
    <row r="48" spans="2:68" s="2" customFormat="1" ht="87.6" customHeight="1" x14ac:dyDescent="0.3">
      <c r="B48" s="37" t="s">
        <v>130</v>
      </c>
      <c r="C48" s="21" t="s">
        <v>131</v>
      </c>
      <c r="D48" s="21" t="s">
        <v>133</v>
      </c>
      <c r="E48" s="21" t="s">
        <v>134</v>
      </c>
      <c r="F48" s="21" t="s">
        <v>100</v>
      </c>
      <c r="G48" s="38" t="s">
        <v>0</v>
      </c>
      <c r="H48" s="21" t="s">
        <v>100</v>
      </c>
      <c r="I48" s="3"/>
      <c r="J48" s="51" t="s">
        <v>39</v>
      </c>
      <c r="K48" s="8"/>
      <c r="L48" s="8"/>
      <c r="M48" s="8"/>
      <c r="N48" s="8"/>
      <c r="O48" s="8"/>
      <c r="P48" s="8"/>
      <c r="Q48" s="8"/>
    </row>
    <row r="49" spans="2:17" s="2" customFormat="1" ht="14.4" customHeight="1" x14ac:dyDescent="0.3">
      <c r="B49" s="43"/>
      <c r="C49" s="44"/>
      <c r="D49" s="44"/>
      <c r="E49" s="44"/>
      <c r="F49" s="44"/>
      <c r="G49" s="44"/>
      <c r="H49" s="44"/>
      <c r="I49" s="35"/>
      <c r="J49" s="36"/>
    </row>
    <row r="50" spans="2:17" s="2" customFormat="1" ht="99" customHeight="1" x14ac:dyDescent="0.3">
      <c r="B50" s="3" t="s">
        <v>101</v>
      </c>
      <c r="C50" s="5" t="s">
        <v>148</v>
      </c>
      <c r="D50" s="5" t="s">
        <v>149</v>
      </c>
      <c r="E50" s="5" t="s">
        <v>150</v>
      </c>
      <c r="F50" s="5" t="s">
        <v>151</v>
      </c>
      <c r="G50" s="38" t="s">
        <v>0</v>
      </c>
      <c r="H50" s="21" t="s">
        <v>152</v>
      </c>
      <c r="I50" s="27"/>
      <c r="J50" s="51" t="s">
        <v>39</v>
      </c>
      <c r="K50" s="8"/>
      <c r="L50" s="8"/>
      <c r="M50" s="8"/>
      <c r="N50" s="8"/>
      <c r="O50" s="8"/>
      <c r="P50" s="8"/>
      <c r="Q50" s="8"/>
    </row>
    <row r="51" spans="2:17" s="2" customFormat="1" ht="99" customHeight="1" x14ac:dyDescent="0.3">
      <c r="B51" s="3" t="s">
        <v>153</v>
      </c>
      <c r="C51" s="5" t="s">
        <v>148</v>
      </c>
      <c r="D51" s="5" t="s">
        <v>160</v>
      </c>
      <c r="E51" s="5" t="s">
        <v>162</v>
      </c>
      <c r="F51" s="5" t="s">
        <v>161</v>
      </c>
      <c r="G51" s="4" t="s">
        <v>1</v>
      </c>
      <c r="H51" s="21" t="s">
        <v>163</v>
      </c>
      <c r="I51" s="27"/>
      <c r="J51" s="51" t="s">
        <v>39</v>
      </c>
      <c r="K51" s="8"/>
      <c r="L51" s="8"/>
      <c r="M51" s="8"/>
      <c r="N51" s="8"/>
      <c r="O51" s="8"/>
      <c r="P51" s="8"/>
      <c r="Q51" s="8"/>
    </row>
    <row r="52" spans="2:17" s="2" customFormat="1" ht="99" customHeight="1" x14ac:dyDescent="0.3">
      <c r="B52" s="3" t="s">
        <v>154</v>
      </c>
      <c r="C52" s="5" t="s">
        <v>148</v>
      </c>
      <c r="D52" s="5" t="s">
        <v>157</v>
      </c>
      <c r="E52" s="5" t="s">
        <v>164</v>
      </c>
      <c r="F52" s="5" t="s">
        <v>165</v>
      </c>
      <c r="G52" s="38" t="s">
        <v>0</v>
      </c>
      <c r="H52" s="21" t="s">
        <v>152</v>
      </c>
      <c r="I52" s="27"/>
      <c r="J52" s="51" t="s">
        <v>39</v>
      </c>
      <c r="K52" s="8"/>
      <c r="L52" s="8"/>
      <c r="M52" s="8"/>
      <c r="N52" s="8"/>
      <c r="O52" s="8"/>
      <c r="P52" s="8"/>
      <c r="Q52" s="8"/>
    </row>
    <row r="53" spans="2:17" s="2" customFormat="1" ht="99" customHeight="1" x14ac:dyDescent="0.3">
      <c r="B53" s="3" t="s">
        <v>155</v>
      </c>
      <c r="C53" s="5" t="s">
        <v>148</v>
      </c>
      <c r="D53" s="5" t="s">
        <v>158</v>
      </c>
      <c r="E53" s="5" t="s">
        <v>168</v>
      </c>
      <c r="F53" s="5" t="s">
        <v>166</v>
      </c>
      <c r="G53" s="38" t="s">
        <v>0</v>
      </c>
      <c r="H53" s="21" t="s">
        <v>152</v>
      </c>
      <c r="I53" s="27"/>
      <c r="J53" s="51" t="s">
        <v>39</v>
      </c>
      <c r="K53" s="8"/>
      <c r="L53" s="8"/>
      <c r="M53" s="8"/>
      <c r="N53" s="8"/>
      <c r="O53" s="8"/>
      <c r="P53" s="8"/>
      <c r="Q53" s="8"/>
    </row>
    <row r="54" spans="2:17" s="2" customFormat="1" ht="99" customHeight="1" x14ac:dyDescent="0.3">
      <c r="B54" s="3" t="s">
        <v>156</v>
      </c>
      <c r="C54" s="5" t="s">
        <v>148</v>
      </c>
      <c r="D54" s="5" t="s">
        <v>159</v>
      </c>
      <c r="E54" s="5" t="s">
        <v>169</v>
      </c>
      <c r="F54" s="5" t="s">
        <v>167</v>
      </c>
      <c r="G54" s="38" t="s">
        <v>0</v>
      </c>
      <c r="H54" s="21" t="s">
        <v>152</v>
      </c>
      <c r="I54" s="27"/>
      <c r="J54" s="51" t="s">
        <v>39</v>
      </c>
      <c r="K54" s="8"/>
      <c r="L54" s="8"/>
      <c r="M54" s="8"/>
      <c r="N54" s="8"/>
      <c r="O54" s="8"/>
      <c r="P54" s="8"/>
      <c r="Q54" s="8"/>
    </row>
    <row r="55" spans="2:17" s="2" customFormat="1" ht="13.8" customHeight="1" x14ac:dyDescent="0.3">
      <c r="B55" s="53"/>
      <c r="C55" s="54"/>
      <c r="D55" s="53"/>
      <c r="E55" s="53"/>
      <c r="F55" s="53"/>
      <c r="G55" s="55"/>
      <c r="H55" s="56"/>
      <c r="I55" s="53"/>
      <c r="J55" s="53"/>
      <c r="K55" s="8"/>
      <c r="L55" s="8"/>
      <c r="M55" s="8"/>
      <c r="N55" s="8"/>
      <c r="O55" s="8"/>
      <c r="P55" s="8"/>
      <c r="Q55" s="8"/>
    </row>
    <row r="56" spans="2:17" s="2" customFormat="1" ht="113.4" customHeight="1" x14ac:dyDescent="0.3">
      <c r="B56" s="3" t="s">
        <v>327</v>
      </c>
      <c r="C56" s="5" t="s">
        <v>329</v>
      </c>
      <c r="D56" s="21" t="s">
        <v>135</v>
      </c>
      <c r="E56" s="5" t="s">
        <v>136</v>
      </c>
      <c r="F56" s="5" t="s">
        <v>137</v>
      </c>
      <c r="G56" s="38" t="s">
        <v>0</v>
      </c>
      <c r="H56" s="3" t="s">
        <v>138</v>
      </c>
      <c r="I56" s="3"/>
      <c r="J56" s="51" t="s">
        <v>39</v>
      </c>
      <c r="K56" s="8"/>
      <c r="L56" s="8"/>
      <c r="M56" s="8"/>
      <c r="N56" s="8"/>
      <c r="O56" s="8"/>
      <c r="P56" s="8"/>
      <c r="Q56" s="8"/>
    </row>
    <row r="57" spans="2:17" s="2" customFormat="1" ht="113.4" customHeight="1" x14ac:dyDescent="0.3">
      <c r="B57" s="3" t="s">
        <v>328</v>
      </c>
      <c r="C57" s="5" t="s">
        <v>330</v>
      </c>
      <c r="D57" s="21" t="s">
        <v>135</v>
      </c>
      <c r="E57" s="5" t="s">
        <v>332</v>
      </c>
      <c r="F57" s="5" t="s">
        <v>333</v>
      </c>
      <c r="G57" s="38" t="s">
        <v>0</v>
      </c>
      <c r="H57" s="3" t="s">
        <v>331</v>
      </c>
      <c r="I57" s="3"/>
      <c r="J57" s="51" t="s">
        <v>39</v>
      </c>
      <c r="K57" s="8"/>
      <c r="L57" s="8"/>
      <c r="M57" s="8"/>
      <c r="N57" s="8"/>
      <c r="O57" s="8"/>
      <c r="P57" s="8"/>
      <c r="Q57" s="8"/>
    </row>
    <row r="58" spans="2:17" s="2" customFormat="1" x14ac:dyDescent="0.3">
      <c r="B58" s="53"/>
      <c r="C58" s="53"/>
      <c r="D58" s="53"/>
      <c r="E58" s="53"/>
      <c r="F58" s="53"/>
      <c r="G58" s="53"/>
      <c r="H58" s="53"/>
      <c r="I58" s="53"/>
      <c r="J58" s="53"/>
    </row>
    <row r="59" spans="2:17" customFormat="1" ht="105" customHeight="1" x14ac:dyDescent="0.3">
      <c r="B59" s="3" t="s">
        <v>207</v>
      </c>
      <c r="C59" s="3" t="s">
        <v>208</v>
      </c>
      <c r="D59" s="21" t="s">
        <v>209</v>
      </c>
      <c r="E59" s="21" t="s">
        <v>210</v>
      </c>
      <c r="F59" s="5" t="s">
        <v>211</v>
      </c>
      <c r="G59" s="38" t="s">
        <v>0</v>
      </c>
      <c r="H59" s="60" t="s">
        <v>212</v>
      </c>
      <c r="I59" s="60"/>
      <c r="J59" s="51" t="s">
        <v>39</v>
      </c>
    </row>
    <row r="60" spans="2:17" s="2" customFormat="1" x14ac:dyDescent="0.3">
      <c r="B60" s="53"/>
      <c r="C60" s="53"/>
      <c r="D60" s="59"/>
      <c r="E60" s="59"/>
      <c r="F60" s="53"/>
      <c r="G60" s="59"/>
      <c r="H60" s="53"/>
      <c r="I60" s="53"/>
      <c r="J60" s="59"/>
    </row>
    <row r="61" spans="2:17" s="2" customFormat="1" ht="97.8" customHeight="1" x14ac:dyDescent="0.3">
      <c r="B61" s="3" t="s">
        <v>139</v>
      </c>
      <c r="C61" s="3" t="s">
        <v>140</v>
      </c>
      <c r="D61" s="21" t="s">
        <v>141</v>
      </c>
      <c r="E61" s="21" t="s">
        <v>210</v>
      </c>
      <c r="F61" s="5" t="s">
        <v>142</v>
      </c>
      <c r="G61" s="38" t="s">
        <v>0</v>
      </c>
      <c r="H61" s="3" t="s">
        <v>213</v>
      </c>
      <c r="I61" s="3"/>
      <c r="J61" s="51" t="s">
        <v>39</v>
      </c>
    </row>
    <row r="62" spans="2:17" s="2" customFormat="1" x14ac:dyDescent="0.3">
      <c r="B62" s="53"/>
      <c r="C62" s="53"/>
      <c r="D62" s="53"/>
      <c r="E62" s="53"/>
      <c r="F62" s="53"/>
      <c r="G62" s="53"/>
      <c r="H62" s="53"/>
      <c r="I62" s="53"/>
      <c r="J62" s="53"/>
    </row>
    <row r="63" spans="2:17" s="2" customFormat="1" ht="41.4" x14ac:dyDescent="0.3">
      <c r="B63" s="3" t="s">
        <v>143</v>
      </c>
      <c r="C63" s="3" t="s">
        <v>144</v>
      </c>
      <c r="D63" s="21" t="s">
        <v>145</v>
      </c>
      <c r="E63" s="5" t="s">
        <v>240</v>
      </c>
      <c r="F63" s="5" t="s">
        <v>146</v>
      </c>
      <c r="G63" s="38" t="s">
        <v>0</v>
      </c>
      <c r="H63" s="3" t="s">
        <v>147</v>
      </c>
      <c r="I63" s="3"/>
      <c r="J63" s="51" t="s">
        <v>39</v>
      </c>
    </row>
    <row r="64" spans="2:17" s="2" customFormat="1" x14ac:dyDescent="0.3">
      <c r="B64" s="53"/>
      <c r="C64" s="53"/>
      <c r="D64" s="53"/>
      <c r="E64" s="53"/>
      <c r="F64" s="53"/>
      <c r="G64" s="53"/>
      <c r="H64" s="53"/>
      <c r="I64" s="53"/>
      <c r="J64" s="53"/>
    </row>
    <row r="65" spans="2:10" s="2" customFormat="1" ht="78.599999999999994" customHeight="1" x14ac:dyDescent="0.3">
      <c r="B65" s="3" t="s">
        <v>321</v>
      </c>
      <c r="C65" s="3" t="s">
        <v>322</v>
      </c>
      <c r="D65" s="3" t="s">
        <v>323</v>
      </c>
      <c r="E65" s="3" t="s">
        <v>326</v>
      </c>
      <c r="F65" s="3" t="s">
        <v>324</v>
      </c>
      <c r="G65" s="3" t="s">
        <v>0</v>
      </c>
      <c r="H65" s="3" t="s">
        <v>325</v>
      </c>
      <c r="I65" s="3"/>
      <c r="J65" s="3" t="s">
        <v>39</v>
      </c>
    </row>
    <row r="66" spans="2:10" s="2" customFormat="1" x14ac:dyDescent="0.3">
      <c r="B66" s="3"/>
      <c r="C66" s="3"/>
      <c r="D66" s="3"/>
      <c r="E66" s="3"/>
      <c r="F66" s="3"/>
      <c r="G66" s="3"/>
      <c r="H66" s="3"/>
      <c r="I66" s="3"/>
      <c r="J66" s="3"/>
    </row>
    <row r="67" spans="2:10" s="2" customFormat="1" x14ac:dyDescent="0.3">
      <c r="B67" s="3"/>
      <c r="C67" s="3"/>
      <c r="D67" s="3"/>
      <c r="E67" s="3"/>
      <c r="F67" s="3"/>
      <c r="G67" s="3"/>
      <c r="H67" s="3"/>
      <c r="I67" s="3"/>
      <c r="J67" s="3"/>
    </row>
    <row r="68" spans="2:10" s="2" customFormat="1" x14ac:dyDescent="0.3">
      <c r="B68" s="3"/>
      <c r="C68" s="3"/>
      <c r="D68" s="3"/>
      <c r="E68" s="3"/>
      <c r="F68" s="3"/>
      <c r="G68" s="3"/>
      <c r="H68" s="3"/>
      <c r="I68" s="3"/>
      <c r="J68" s="3"/>
    </row>
    <row r="69" spans="2:10" s="2" customFormat="1" x14ac:dyDescent="0.3"/>
    <row r="70" spans="2:10" s="2" customFormat="1" ht="17.399999999999999" x14ac:dyDescent="0.3">
      <c r="B70" s="58" t="s">
        <v>170</v>
      </c>
    </row>
    <row r="71" spans="2:10" s="2" customFormat="1" ht="45" customHeight="1" x14ac:dyDescent="0.3">
      <c r="B71" s="3" t="s">
        <v>250</v>
      </c>
      <c r="C71" s="3" t="s">
        <v>251</v>
      </c>
      <c r="D71" s="5" t="s">
        <v>252</v>
      </c>
      <c r="E71" s="3" t="s">
        <v>255</v>
      </c>
      <c r="F71" s="3" t="s">
        <v>254</v>
      </c>
      <c r="G71" s="38" t="s">
        <v>0</v>
      </c>
      <c r="H71" s="3" t="s">
        <v>251</v>
      </c>
      <c r="I71" s="63"/>
      <c r="J71" s="51" t="s">
        <v>39</v>
      </c>
    </row>
    <row r="72" spans="2:10" s="2" customFormat="1" ht="13.8" customHeight="1" x14ac:dyDescent="0.3">
      <c r="B72" s="64"/>
      <c r="C72" s="64"/>
      <c r="D72" s="64"/>
      <c r="E72" s="64"/>
      <c r="F72" s="64"/>
      <c r="G72" s="64"/>
      <c r="H72" s="64"/>
      <c r="I72" s="64"/>
      <c r="J72" s="64"/>
    </row>
    <row r="73" spans="2:10" s="2" customFormat="1" ht="124.2" customHeight="1" x14ac:dyDescent="0.3">
      <c r="B73" s="3" t="s">
        <v>249</v>
      </c>
      <c r="C73" s="3" t="s">
        <v>248</v>
      </c>
      <c r="D73" s="5" t="s">
        <v>256</v>
      </c>
      <c r="E73" s="5" t="s">
        <v>291</v>
      </c>
      <c r="F73" s="3" t="s">
        <v>253</v>
      </c>
      <c r="G73" s="38" t="s">
        <v>0</v>
      </c>
      <c r="H73" s="3" t="s">
        <v>292</v>
      </c>
      <c r="I73" s="3"/>
      <c r="J73" s="51" t="s">
        <v>39</v>
      </c>
    </row>
    <row r="74" spans="2:10" s="2" customFormat="1" ht="14.4" customHeight="1" x14ac:dyDescent="0.3">
      <c r="B74" s="57"/>
      <c r="C74" s="57"/>
      <c r="D74" s="57"/>
      <c r="E74" s="57"/>
      <c r="F74" s="57"/>
      <c r="G74" s="57"/>
      <c r="H74" s="57"/>
      <c r="I74" s="57"/>
      <c r="J74" s="57"/>
    </row>
    <row r="75" spans="2:10" s="2" customFormat="1" ht="56.4" customHeight="1" x14ac:dyDescent="0.3">
      <c r="B75" s="3" t="s">
        <v>171</v>
      </c>
      <c r="C75" s="3" t="s">
        <v>172</v>
      </c>
      <c r="D75" s="3" t="s">
        <v>173</v>
      </c>
      <c r="E75" s="3" t="s">
        <v>174</v>
      </c>
      <c r="F75" s="3" t="s">
        <v>175</v>
      </c>
      <c r="G75" s="38" t="s">
        <v>0</v>
      </c>
      <c r="H75" s="3" t="s">
        <v>176</v>
      </c>
      <c r="I75" s="3"/>
      <c r="J75" s="51" t="s">
        <v>39</v>
      </c>
    </row>
    <row r="76" spans="2:10" s="2" customFormat="1" ht="13.8" customHeight="1" x14ac:dyDescent="0.3">
      <c r="B76" s="57"/>
      <c r="C76" s="57"/>
      <c r="D76" s="57"/>
      <c r="E76" s="57"/>
      <c r="F76" s="57"/>
      <c r="G76" s="57"/>
      <c r="H76" s="57"/>
      <c r="I76" s="57"/>
      <c r="J76" s="57"/>
    </row>
    <row r="77" spans="2:10" s="2" customFormat="1" ht="60" customHeight="1" x14ac:dyDescent="0.3">
      <c r="B77" s="3" t="s">
        <v>177</v>
      </c>
      <c r="C77" s="3" t="s">
        <v>180</v>
      </c>
      <c r="D77" s="5" t="s">
        <v>181</v>
      </c>
      <c r="E77" s="3" t="s">
        <v>182</v>
      </c>
      <c r="F77" s="3" t="s">
        <v>183</v>
      </c>
      <c r="G77" s="38" t="s">
        <v>0</v>
      </c>
      <c r="H77" s="3" t="s">
        <v>184</v>
      </c>
      <c r="I77" s="3"/>
      <c r="J77" s="51" t="s">
        <v>39</v>
      </c>
    </row>
    <row r="78" spans="2:10" s="2" customFormat="1" ht="58.8" customHeight="1" x14ac:dyDescent="0.3">
      <c r="B78" s="3" t="s">
        <v>178</v>
      </c>
      <c r="C78" s="3" t="s">
        <v>179</v>
      </c>
      <c r="D78" s="5" t="s">
        <v>185</v>
      </c>
      <c r="E78" s="3" t="s">
        <v>186</v>
      </c>
      <c r="F78" s="3" t="s">
        <v>187</v>
      </c>
      <c r="G78" s="38" t="s">
        <v>0</v>
      </c>
      <c r="H78" s="3" t="s">
        <v>188</v>
      </c>
      <c r="I78" s="3"/>
      <c r="J78" s="51" t="s">
        <v>39</v>
      </c>
    </row>
    <row r="79" spans="2:10" s="2" customFormat="1" x14ac:dyDescent="0.3">
      <c r="B79" s="57"/>
      <c r="C79" s="57"/>
      <c r="D79" s="57"/>
      <c r="E79" s="57"/>
      <c r="F79" s="57"/>
      <c r="G79" s="57"/>
      <c r="H79" s="57"/>
      <c r="I79" s="57"/>
      <c r="J79" s="57"/>
    </row>
    <row r="80" spans="2:10" s="2" customFormat="1" ht="88.2" customHeight="1" x14ac:dyDescent="0.3">
      <c r="B80" s="3" t="s">
        <v>189</v>
      </c>
      <c r="C80" s="3" t="s">
        <v>190</v>
      </c>
      <c r="D80" s="5" t="s">
        <v>191</v>
      </c>
      <c r="E80" s="3" t="s">
        <v>192</v>
      </c>
      <c r="F80" s="3" t="s">
        <v>193</v>
      </c>
      <c r="G80" s="38" t="s">
        <v>0</v>
      </c>
      <c r="H80" s="3" t="s">
        <v>194</v>
      </c>
      <c r="I80" s="3"/>
      <c r="J80" s="51" t="s">
        <v>39</v>
      </c>
    </row>
    <row r="81" spans="2:10" s="2" customFormat="1" x14ac:dyDescent="0.3">
      <c r="B81" s="57"/>
      <c r="C81" s="57"/>
      <c r="D81" s="57"/>
      <c r="E81" s="57"/>
      <c r="F81" s="57"/>
      <c r="G81" s="57"/>
      <c r="H81" s="57"/>
      <c r="I81" s="57"/>
      <c r="J81" s="57"/>
    </row>
    <row r="82" spans="2:10" s="2" customFormat="1" ht="64.2" customHeight="1" x14ac:dyDescent="0.3">
      <c r="B82" s="3" t="s">
        <v>195</v>
      </c>
      <c r="C82" s="3" t="s">
        <v>196</v>
      </c>
      <c r="D82" s="5" t="s">
        <v>200</v>
      </c>
      <c r="E82" s="5" t="s">
        <v>136</v>
      </c>
      <c r="F82" s="3" t="s">
        <v>201</v>
      </c>
      <c r="G82" s="38" t="s">
        <v>0</v>
      </c>
      <c r="H82" s="3" t="s">
        <v>201</v>
      </c>
      <c r="I82" s="3"/>
      <c r="J82" s="51" t="s">
        <v>39</v>
      </c>
    </row>
    <row r="83" spans="2:10" s="2" customFormat="1" ht="45" customHeight="1" x14ac:dyDescent="0.3">
      <c r="B83" s="3" t="s">
        <v>197</v>
      </c>
      <c r="C83" s="3" t="s">
        <v>198</v>
      </c>
      <c r="D83" s="5" t="s">
        <v>202</v>
      </c>
      <c r="E83" s="3" t="s">
        <v>203</v>
      </c>
      <c r="F83" s="3" t="s">
        <v>205</v>
      </c>
      <c r="G83" s="38" t="s">
        <v>0</v>
      </c>
      <c r="H83" s="3" t="s">
        <v>204</v>
      </c>
      <c r="I83" s="3"/>
      <c r="J83" s="51" t="s">
        <v>39</v>
      </c>
    </row>
    <row r="84" spans="2:10" s="2" customFormat="1" x14ac:dyDescent="0.3">
      <c r="B84" s="57"/>
      <c r="C84" s="57"/>
      <c r="D84" s="57"/>
      <c r="E84" s="57"/>
      <c r="F84" s="57"/>
      <c r="G84" s="57"/>
      <c r="H84" s="57"/>
      <c r="I84" s="57"/>
      <c r="J84" s="57"/>
    </row>
    <row r="85" spans="2:10" s="2" customFormat="1" ht="74.400000000000006" customHeight="1" x14ac:dyDescent="0.3">
      <c r="B85" s="3" t="s">
        <v>199</v>
      </c>
      <c r="C85" s="3" t="s">
        <v>206</v>
      </c>
      <c r="D85" s="5" t="s">
        <v>214</v>
      </c>
      <c r="E85" s="21" t="s">
        <v>215</v>
      </c>
      <c r="F85" s="3" t="s">
        <v>216</v>
      </c>
      <c r="G85" s="38" t="s">
        <v>0</v>
      </c>
      <c r="H85" s="21" t="s">
        <v>217</v>
      </c>
      <c r="I85" s="3"/>
      <c r="J85" s="51" t="s">
        <v>39</v>
      </c>
    </row>
    <row r="86" spans="2:10" s="2" customFormat="1" ht="14.4" customHeight="1" x14ac:dyDescent="0.3">
      <c r="B86" s="57"/>
      <c r="C86" s="57"/>
      <c r="D86" s="57"/>
      <c r="E86" s="57"/>
      <c r="F86" s="57"/>
      <c r="G86" s="57"/>
      <c r="H86" s="57"/>
      <c r="I86" s="57"/>
      <c r="J86" s="57"/>
    </row>
    <row r="87" spans="2:10" s="2" customFormat="1" ht="69.599999999999994" customHeight="1" x14ac:dyDescent="0.3">
      <c r="B87" s="3" t="s">
        <v>241</v>
      </c>
      <c r="C87" s="3" t="s">
        <v>242</v>
      </c>
      <c r="D87" s="5" t="s">
        <v>243</v>
      </c>
      <c r="E87" s="3" t="s">
        <v>244</v>
      </c>
      <c r="F87" s="3" t="s">
        <v>314</v>
      </c>
      <c r="G87" s="4" t="s">
        <v>0</v>
      </c>
      <c r="H87" s="3" t="s">
        <v>245</v>
      </c>
      <c r="I87" s="3"/>
      <c r="J87" s="61" t="s">
        <v>39</v>
      </c>
    </row>
    <row r="88" spans="2:10" s="2" customFormat="1" ht="31.2" customHeight="1" x14ac:dyDescent="0.45">
      <c r="B88" s="62" t="s">
        <v>246</v>
      </c>
    </row>
    <row r="89" spans="2:10" s="2" customFormat="1" ht="49.2" customHeight="1" x14ac:dyDescent="0.3">
      <c r="B89" s="3" t="s">
        <v>247</v>
      </c>
      <c r="C89" s="3" t="s">
        <v>257</v>
      </c>
      <c r="D89" s="5" t="s">
        <v>264</v>
      </c>
      <c r="E89" s="3" t="s">
        <v>258</v>
      </c>
      <c r="F89" s="3" t="s">
        <v>259</v>
      </c>
      <c r="G89" s="4" t="s">
        <v>0</v>
      </c>
      <c r="H89" s="3" t="s">
        <v>260</v>
      </c>
      <c r="I89" s="61"/>
      <c r="J89" s="61" t="s">
        <v>39</v>
      </c>
    </row>
    <row r="90" spans="2:10" s="2" customFormat="1" ht="13.8" customHeight="1" x14ac:dyDescent="0.3">
      <c r="B90" s="65"/>
      <c r="C90" s="65"/>
      <c r="D90" s="65"/>
      <c r="E90" s="65"/>
      <c r="F90" s="65"/>
      <c r="G90" s="65"/>
      <c r="H90" s="65"/>
      <c r="I90" s="65"/>
      <c r="J90" s="65"/>
    </row>
    <row r="91" spans="2:10" s="2" customFormat="1" ht="41.4" customHeight="1" x14ac:dyDescent="0.3">
      <c r="B91" s="3" t="s">
        <v>261</v>
      </c>
      <c r="C91" s="3" t="s">
        <v>262</v>
      </c>
      <c r="D91" s="5" t="s">
        <v>263</v>
      </c>
      <c r="E91" s="3" t="s">
        <v>265</v>
      </c>
      <c r="F91" s="3" t="s">
        <v>293</v>
      </c>
      <c r="G91" s="4" t="s">
        <v>0</v>
      </c>
      <c r="H91" s="3" t="s">
        <v>294</v>
      </c>
      <c r="I91" s="61"/>
      <c r="J91" s="61" t="s">
        <v>39</v>
      </c>
    </row>
    <row r="92" spans="2:10" s="2" customFormat="1" ht="13.2" customHeight="1" x14ac:dyDescent="0.3">
      <c r="B92" s="65"/>
      <c r="C92" s="65"/>
      <c r="D92" s="65"/>
      <c r="E92" s="65"/>
      <c r="F92" s="65"/>
      <c r="G92" s="65"/>
      <c r="H92" s="65"/>
      <c r="I92" s="65"/>
      <c r="J92" s="65"/>
    </row>
    <row r="93" spans="2:10" s="2" customFormat="1" ht="42" customHeight="1" x14ac:dyDescent="0.3">
      <c r="B93" s="3" t="s">
        <v>266</v>
      </c>
      <c r="C93" s="3" t="s">
        <v>267</v>
      </c>
      <c r="D93" s="5" t="s">
        <v>281</v>
      </c>
      <c r="E93" s="3" t="s">
        <v>320</v>
      </c>
      <c r="F93" s="3" t="s">
        <v>282</v>
      </c>
      <c r="G93" s="4" t="s">
        <v>0</v>
      </c>
      <c r="H93" s="21" t="s">
        <v>152</v>
      </c>
      <c r="I93" s="61"/>
      <c r="J93" s="61" t="s">
        <v>39</v>
      </c>
    </row>
    <row r="94" spans="2:10" s="2" customFormat="1" ht="52.8" customHeight="1" x14ac:dyDescent="0.3">
      <c r="B94" s="3" t="s">
        <v>268</v>
      </c>
      <c r="C94" s="3" t="s">
        <v>267</v>
      </c>
      <c r="D94" s="5" t="s">
        <v>281</v>
      </c>
      <c r="E94" s="3" t="s">
        <v>278</v>
      </c>
      <c r="F94" s="3" t="s">
        <v>283</v>
      </c>
      <c r="G94" s="4" t="s">
        <v>0</v>
      </c>
      <c r="H94" s="21" t="s">
        <v>152</v>
      </c>
      <c r="I94" s="61"/>
      <c r="J94" s="61" t="s">
        <v>39</v>
      </c>
    </row>
    <row r="95" spans="2:10" s="2" customFormat="1" ht="58.2" customHeight="1" x14ac:dyDescent="0.3">
      <c r="B95" s="3" t="s">
        <v>269</v>
      </c>
      <c r="C95" s="3" t="s">
        <v>267</v>
      </c>
      <c r="D95" s="5" t="s">
        <v>281</v>
      </c>
      <c r="E95" s="3" t="s">
        <v>279</v>
      </c>
      <c r="F95" s="3" t="s">
        <v>284</v>
      </c>
      <c r="G95" s="4" t="s">
        <v>0</v>
      </c>
      <c r="H95" s="21" t="s">
        <v>152</v>
      </c>
      <c r="I95" s="61"/>
      <c r="J95" s="61" t="s">
        <v>39</v>
      </c>
    </row>
    <row r="96" spans="2:10" s="2" customFormat="1" ht="41.4" x14ac:dyDescent="0.3">
      <c r="B96" s="3" t="s">
        <v>270</v>
      </c>
      <c r="C96" s="3" t="s">
        <v>267</v>
      </c>
      <c r="D96" s="5" t="s">
        <v>281</v>
      </c>
      <c r="E96" s="3" t="s">
        <v>280</v>
      </c>
      <c r="F96" s="3" t="s">
        <v>285</v>
      </c>
      <c r="G96" s="4" t="s">
        <v>0</v>
      </c>
      <c r="H96" s="21" t="s">
        <v>152</v>
      </c>
      <c r="I96" s="61"/>
      <c r="J96" s="61" t="s">
        <v>39</v>
      </c>
    </row>
    <row r="97" spans="2:10" s="2" customFormat="1" ht="45" customHeight="1" x14ac:dyDescent="0.3">
      <c r="B97" s="3" t="s">
        <v>271</v>
      </c>
      <c r="C97" s="3" t="s">
        <v>267</v>
      </c>
      <c r="D97" s="5" t="s">
        <v>281</v>
      </c>
      <c r="E97" s="3" t="s">
        <v>277</v>
      </c>
      <c r="F97" s="3" t="s">
        <v>286</v>
      </c>
      <c r="G97" s="4" t="s">
        <v>0</v>
      </c>
      <c r="H97" s="21" t="s">
        <v>152</v>
      </c>
      <c r="I97" s="61"/>
      <c r="J97" s="61" t="s">
        <v>39</v>
      </c>
    </row>
    <row r="98" spans="2:10" s="2" customFormat="1" x14ac:dyDescent="0.3">
      <c r="B98" s="3"/>
      <c r="C98" s="3"/>
      <c r="D98" s="5"/>
      <c r="E98" s="3"/>
      <c r="F98" s="61"/>
      <c r="G98" s="61"/>
      <c r="H98" s="61"/>
      <c r="I98" s="61"/>
      <c r="J98" s="61"/>
    </row>
    <row r="99" spans="2:10" s="2" customFormat="1" ht="30" customHeight="1" x14ac:dyDescent="0.45">
      <c r="B99" s="62" t="s">
        <v>272</v>
      </c>
    </row>
    <row r="100" spans="2:10" s="2" customFormat="1" ht="61.2" customHeight="1" x14ac:dyDescent="0.3">
      <c r="B100" s="3" t="s">
        <v>247</v>
      </c>
      <c r="C100" s="3" t="s">
        <v>257</v>
      </c>
      <c r="D100" s="5" t="s">
        <v>295</v>
      </c>
      <c r="E100" s="3" t="s">
        <v>296</v>
      </c>
      <c r="F100" s="3" t="s">
        <v>297</v>
      </c>
      <c r="G100" s="4" t="s">
        <v>0</v>
      </c>
      <c r="H100" s="3" t="s">
        <v>298</v>
      </c>
      <c r="I100" s="61"/>
      <c r="J100" s="61" t="s">
        <v>39</v>
      </c>
    </row>
    <row r="101" spans="2:10" s="2" customFormat="1" ht="13.8" customHeight="1" x14ac:dyDescent="0.3">
      <c r="B101" s="66"/>
      <c r="C101" s="66"/>
      <c r="D101" s="66"/>
      <c r="E101" s="66"/>
      <c r="F101" s="66"/>
      <c r="G101" s="66"/>
      <c r="H101" s="66"/>
      <c r="I101" s="66"/>
      <c r="J101" s="66"/>
    </row>
    <row r="102" spans="2:10" s="2" customFormat="1" ht="87" customHeight="1" x14ac:dyDescent="0.3">
      <c r="B102" s="3" t="s">
        <v>273</v>
      </c>
      <c r="C102" s="3" t="s">
        <v>299</v>
      </c>
      <c r="D102" s="5" t="s">
        <v>300</v>
      </c>
      <c r="E102" s="3" t="s">
        <v>301</v>
      </c>
      <c r="F102" s="3" t="s">
        <v>302</v>
      </c>
      <c r="G102" s="4" t="s">
        <v>0</v>
      </c>
      <c r="H102" s="3" t="s">
        <v>303</v>
      </c>
      <c r="I102" s="61"/>
      <c r="J102" s="61" t="s">
        <v>39</v>
      </c>
    </row>
    <row r="103" spans="2:10" s="2" customFormat="1" ht="13.8" customHeight="1" x14ac:dyDescent="0.3">
      <c r="B103" s="66"/>
      <c r="C103" s="66"/>
      <c r="D103" s="66"/>
      <c r="E103" s="66"/>
      <c r="F103" s="66"/>
      <c r="G103" s="66"/>
      <c r="H103" s="66"/>
      <c r="I103" s="66"/>
      <c r="J103" s="66"/>
    </row>
    <row r="104" spans="2:10" s="2" customFormat="1" ht="58.8" customHeight="1" x14ac:dyDescent="0.3">
      <c r="B104" s="3" t="s">
        <v>274</v>
      </c>
      <c r="C104" s="3" t="s">
        <v>289</v>
      </c>
      <c r="D104" s="5" t="s">
        <v>290</v>
      </c>
      <c r="E104" s="3" t="s">
        <v>304</v>
      </c>
      <c r="F104" s="5" t="s">
        <v>142</v>
      </c>
      <c r="G104" s="4" t="s">
        <v>0</v>
      </c>
      <c r="H104" s="5" t="s">
        <v>305</v>
      </c>
      <c r="I104" s="61"/>
      <c r="J104" s="61" t="s">
        <v>39</v>
      </c>
    </row>
    <row r="105" spans="2:10" s="2" customFormat="1" ht="14.4" customHeight="1" x14ac:dyDescent="0.3">
      <c r="B105" s="67"/>
      <c r="C105" s="67"/>
      <c r="D105" s="67"/>
      <c r="E105" s="67"/>
      <c r="F105" s="67"/>
      <c r="G105" s="67"/>
      <c r="H105" s="67"/>
      <c r="I105" s="67"/>
      <c r="J105" s="67"/>
    </row>
    <row r="106" spans="2:10" s="2" customFormat="1" ht="58.8" customHeight="1" x14ac:dyDescent="0.3">
      <c r="B106" s="3" t="s">
        <v>275</v>
      </c>
      <c r="C106" s="3" t="s">
        <v>306</v>
      </c>
      <c r="D106" s="5" t="s">
        <v>243</v>
      </c>
      <c r="E106" s="3" t="s">
        <v>313</v>
      </c>
      <c r="F106" s="3" t="s">
        <v>319</v>
      </c>
      <c r="G106" s="4" t="s">
        <v>0</v>
      </c>
      <c r="H106" s="3" t="s">
        <v>315</v>
      </c>
      <c r="I106" s="61"/>
      <c r="J106" s="61" t="s">
        <v>39</v>
      </c>
    </row>
    <row r="107" spans="2:10" s="2" customFormat="1" ht="14.4" customHeight="1" x14ac:dyDescent="0.3">
      <c r="B107" s="67"/>
      <c r="C107" s="67"/>
      <c r="D107" s="67"/>
      <c r="E107" s="67"/>
      <c r="F107" s="67"/>
      <c r="G107" s="67"/>
      <c r="H107" s="67"/>
      <c r="I107" s="67"/>
      <c r="J107" s="67"/>
    </row>
    <row r="108" spans="2:10" s="2" customFormat="1" ht="58.8" customHeight="1" x14ac:dyDescent="0.3">
      <c r="B108" s="3" t="s">
        <v>276</v>
      </c>
      <c r="C108" s="3" t="s">
        <v>287</v>
      </c>
      <c r="D108" s="5" t="s">
        <v>307</v>
      </c>
      <c r="E108" s="5" t="s">
        <v>317</v>
      </c>
      <c r="F108" s="5" t="s">
        <v>316</v>
      </c>
      <c r="G108" s="4" t="s">
        <v>0</v>
      </c>
      <c r="H108" s="3" t="s">
        <v>318</v>
      </c>
      <c r="I108" s="61"/>
      <c r="J108" s="61" t="s">
        <v>39</v>
      </c>
    </row>
    <row r="109" spans="2:10" s="2" customFormat="1" ht="14.4" customHeight="1" x14ac:dyDescent="0.3">
      <c r="B109" s="67"/>
      <c r="C109" s="67"/>
      <c r="D109" s="67"/>
      <c r="E109" s="67"/>
      <c r="F109" s="67"/>
      <c r="G109" s="67"/>
      <c r="H109" s="67"/>
      <c r="I109" s="67"/>
      <c r="J109" s="67"/>
    </row>
    <row r="110" spans="2:10" s="2" customFormat="1" ht="49.8" customHeight="1" x14ac:dyDescent="0.3">
      <c r="B110" s="3" t="s">
        <v>266</v>
      </c>
      <c r="C110" s="3" t="s">
        <v>288</v>
      </c>
      <c r="D110" s="5" t="s">
        <v>281</v>
      </c>
      <c r="E110" s="3" t="s">
        <v>308</v>
      </c>
      <c r="F110" s="3" t="s">
        <v>282</v>
      </c>
      <c r="G110" s="4" t="s">
        <v>0</v>
      </c>
      <c r="H110" s="21" t="s">
        <v>152</v>
      </c>
      <c r="I110" s="61"/>
      <c r="J110" s="61" t="s">
        <v>39</v>
      </c>
    </row>
    <row r="111" spans="2:10" s="2" customFormat="1" ht="49.8" customHeight="1" x14ac:dyDescent="0.3">
      <c r="B111" s="3" t="s">
        <v>268</v>
      </c>
      <c r="C111" s="3" t="s">
        <v>288</v>
      </c>
      <c r="D111" s="5" t="s">
        <v>281</v>
      </c>
      <c r="E111" s="3" t="s">
        <v>278</v>
      </c>
      <c r="F111" s="3" t="s">
        <v>283</v>
      </c>
      <c r="G111" s="4" t="s">
        <v>0</v>
      </c>
      <c r="H111" s="21" t="s">
        <v>152</v>
      </c>
      <c r="I111" s="61"/>
      <c r="J111" s="61" t="s">
        <v>39</v>
      </c>
    </row>
    <row r="112" spans="2:10" s="2" customFormat="1" ht="49.8" customHeight="1" x14ac:dyDescent="0.3">
      <c r="B112" s="3" t="s">
        <v>269</v>
      </c>
      <c r="C112" s="3" t="s">
        <v>288</v>
      </c>
      <c r="D112" s="5" t="s">
        <v>281</v>
      </c>
      <c r="E112" s="3" t="s">
        <v>279</v>
      </c>
      <c r="F112" s="3" t="s">
        <v>284</v>
      </c>
      <c r="G112" s="4" t="s">
        <v>0</v>
      </c>
      <c r="H112" s="21" t="s">
        <v>152</v>
      </c>
      <c r="I112" s="61"/>
      <c r="J112" s="61" t="s">
        <v>39</v>
      </c>
    </row>
    <row r="113" spans="2:10" s="2" customFormat="1" ht="49.8" customHeight="1" x14ac:dyDescent="0.3">
      <c r="B113" s="3" t="s">
        <v>270</v>
      </c>
      <c r="C113" s="3" t="s">
        <v>288</v>
      </c>
      <c r="D113" s="5" t="s">
        <v>281</v>
      </c>
      <c r="E113" s="3" t="s">
        <v>280</v>
      </c>
      <c r="F113" s="3" t="s">
        <v>285</v>
      </c>
      <c r="G113" s="4" t="s">
        <v>0</v>
      </c>
      <c r="H113" s="21" t="s">
        <v>152</v>
      </c>
      <c r="I113" s="61"/>
      <c r="J113" s="61" t="s">
        <v>39</v>
      </c>
    </row>
    <row r="114" spans="2:10" s="2" customFormat="1" ht="49.8" customHeight="1" x14ac:dyDescent="0.3">
      <c r="B114" s="3" t="s">
        <v>271</v>
      </c>
      <c r="C114" s="3" t="s">
        <v>288</v>
      </c>
      <c r="D114" s="5" t="s">
        <v>281</v>
      </c>
      <c r="E114" s="3" t="s">
        <v>277</v>
      </c>
      <c r="F114" s="3" t="s">
        <v>286</v>
      </c>
      <c r="G114" s="4" t="s">
        <v>0</v>
      </c>
      <c r="H114" s="21" t="s">
        <v>152</v>
      </c>
      <c r="I114" s="61"/>
      <c r="J114" s="61" t="s">
        <v>39</v>
      </c>
    </row>
    <row r="115" spans="2:10" s="2" customFormat="1" ht="49.8" customHeight="1" x14ac:dyDescent="0.3">
      <c r="B115" s="3" t="s">
        <v>309</v>
      </c>
      <c r="C115" s="3" t="s">
        <v>288</v>
      </c>
      <c r="D115" s="5" t="s">
        <v>310</v>
      </c>
      <c r="E115" s="3" t="s">
        <v>311</v>
      </c>
      <c r="F115" s="3" t="s">
        <v>312</v>
      </c>
      <c r="G115" s="4" t="s">
        <v>0</v>
      </c>
      <c r="H115" s="21" t="s">
        <v>152</v>
      </c>
      <c r="I115" s="61"/>
      <c r="J115" s="61" t="s">
        <v>39</v>
      </c>
    </row>
    <row r="116" spans="2:10" s="2" customFormat="1" ht="97.2" customHeight="1" x14ac:dyDescent="0.3">
      <c r="B116" s="61"/>
      <c r="C116" s="61"/>
      <c r="D116" s="61"/>
      <c r="E116" s="61"/>
      <c r="F116" s="61"/>
      <c r="G116" s="61"/>
      <c r="H116" s="61"/>
      <c r="I116" s="61"/>
      <c r="J116" s="61"/>
    </row>
    <row r="117" spans="2:10" s="2" customFormat="1" ht="9" customHeight="1" x14ac:dyDescent="0.3">
      <c r="C117" s="15"/>
    </row>
    <row r="118" spans="2:10" s="2" customFormat="1" ht="83.4" customHeight="1" x14ac:dyDescent="0.3">
      <c r="C118" s="15"/>
    </row>
    <row r="119" spans="2:10" s="2" customFormat="1" x14ac:dyDescent="0.3">
      <c r="C119" s="15"/>
    </row>
    <row r="120" spans="2:10" s="2" customFormat="1" x14ac:dyDescent="0.3">
      <c r="C120" s="15"/>
    </row>
    <row r="121" spans="2:10" s="2" customFormat="1" x14ac:dyDescent="0.3">
      <c r="C121" s="15"/>
    </row>
    <row r="122" spans="2:10" s="2" customFormat="1" x14ac:dyDescent="0.3">
      <c r="C122" s="15"/>
    </row>
    <row r="123" spans="2:10" s="2" customFormat="1" x14ac:dyDescent="0.3">
      <c r="C123" s="15"/>
    </row>
    <row r="124" spans="2:10" s="2" customFormat="1" x14ac:dyDescent="0.3">
      <c r="C124" s="15"/>
    </row>
    <row r="125" spans="2:10" s="2" customFormat="1" x14ac:dyDescent="0.3">
      <c r="C125" s="15"/>
    </row>
    <row r="126" spans="2:10" s="2" customFormat="1" x14ac:dyDescent="0.3">
      <c r="C126" s="15"/>
    </row>
    <row r="127" spans="2:10" s="2" customFormat="1" x14ac:dyDescent="0.3">
      <c r="C127" s="15"/>
    </row>
    <row r="128" spans="2:10" s="2" customFormat="1" x14ac:dyDescent="0.3">
      <c r="C128" s="15"/>
    </row>
    <row r="129" spans="3:3" s="2" customFormat="1" x14ac:dyDescent="0.3">
      <c r="C129" s="15"/>
    </row>
    <row r="130" spans="3:3" s="2" customFormat="1" x14ac:dyDescent="0.3">
      <c r="C130" s="15"/>
    </row>
    <row r="131" spans="3:3" s="2" customFormat="1" x14ac:dyDescent="0.3">
      <c r="C131" s="15"/>
    </row>
    <row r="132" spans="3:3" s="2" customFormat="1" x14ac:dyDescent="0.3">
      <c r="C132" s="15"/>
    </row>
    <row r="133" spans="3:3" s="2" customFormat="1" x14ac:dyDescent="0.3">
      <c r="C133" s="15"/>
    </row>
    <row r="134" spans="3:3" s="2" customFormat="1" x14ac:dyDescent="0.3">
      <c r="C134" s="15"/>
    </row>
    <row r="135" spans="3:3" s="2" customFormat="1" x14ac:dyDescent="0.3">
      <c r="C135" s="15"/>
    </row>
    <row r="136" spans="3:3" s="2" customFormat="1" x14ac:dyDescent="0.3">
      <c r="C136" s="15"/>
    </row>
    <row r="137" spans="3:3" s="2" customFormat="1" x14ac:dyDescent="0.3">
      <c r="C137" s="15"/>
    </row>
    <row r="138" spans="3:3" s="2" customFormat="1" x14ac:dyDescent="0.3">
      <c r="C138" s="15"/>
    </row>
    <row r="139" spans="3:3" s="2" customFormat="1" x14ac:dyDescent="0.3">
      <c r="C139" s="15"/>
    </row>
    <row r="140" spans="3:3" s="2" customFormat="1" x14ac:dyDescent="0.3">
      <c r="C140" s="15"/>
    </row>
    <row r="141" spans="3:3" s="2" customFormat="1" x14ac:dyDescent="0.3">
      <c r="C141" s="15"/>
    </row>
    <row r="142" spans="3:3" s="2" customFormat="1" x14ac:dyDescent="0.3">
      <c r="C142" s="15"/>
    </row>
    <row r="143" spans="3:3" s="2" customFormat="1" x14ac:dyDescent="0.3">
      <c r="C143" s="15"/>
    </row>
    <row r="144" spans="3:3" s="2" customFormat="1" x14ac:dyDescent="0.3">
      <c r="C144" s="15"/>
    </row>
    <row r="145" spans="3:3" s="2" customFormat="1" x14ac:dyDescent="0.3">
      <c r="C145" s="15"/>
    </row>
    <row r="146" spans="3:3" s="2" customFormat="1" x14ac:dyDescent="0.3">
      <c r="C146" s="15"/>
    </row>
    <row r="147" spans="3:3" s="2" customFormat="1" x14ac:dyDescent="0.3">
      <c r="C147" s="15"/>
    </row>
    <row r="148" spans="3:3" s="2" customFormat="1" x14ac:dyDescent="0.3">
      <c r="C148" s="15"/>
    </row>
    <row r="149" spans="3:3" s="2" customFormat="1" x14ac:dyDescent="0.3">
      <c r="C149" s="15"/>
    </row>
    <row r="150" spans="3:3" s="2" customFormat="1" x14ac:dyDescent="0.3">
      <c r="C150" s="15"/>
    </row>
    <row r="151" spans="3:3" s="2" customFormat="1" x14ac:dyDescent="0.3">
      <c r="C151" s="15"/>
    </row>
    <row r="152" spans="3:3" s="2" customFormat="1" x14ac:dyDescent="0.3">
      <c r="C152" s="15"/>
    </row>
    <row r="153" spans="3:3" s="2" customFormat="1" x14ac:dyDescent="0.3">
      <c r="C153" s="15"/>
    </row>
    <row r="154" spans="3:3" s="2" customFormat="1" x14ac:dyDescent="0.3">
      <c r="C154" s="15"/>
    </row>
    <row r="155" spans="3:3" s="2" customFormat="1" x14ac:dyDescent="0.3">
      <c r="C155" s="15"/>
    </row>
    <row r="156" spans="3:3" s="2" customFormat="1" x14ac:dyDescent="0.3">
      <c r="C156" s="15"/>
    </row>
    <row r="157" spans="3:3" s="2" customFormat="1" x14ac:dyDescent="0.3">
      <c r="C157" s="15"/>
    </row>
    <row r="158" spans="3:3" s="2" customFormat="1" x14ac:dyDescent="0.3">
      <c r="C158" s="15"/>
    </row>
    <row r="159" spans="3:3" s="2" customFormat="1" x14ac:dyDescent="0.3">
      <c r="C159" s="15"/>
    </row>
    <row r="160" spans="3:3" s="2" customFormat="1" x14ac:dyDescent="0.3">
      <c r="C160" s="15"/>
    </row>
    <row r="161" spans="3:3" s="2" customFormat="1" x14ac:dyDescent="0.3">
      <c r="C161" s="15"/>
    </row>
    <row r="162" spans="3:3" s="2" customFormat="1" x14ac:dyDescent="0.3">
      <c r="C162" s="15"/>
    </row>
    <row r="163" spans="3:3" s="2" customFormat="1" x14ac:dyDescent="0.3">
      <c r="C163" s="15"/>
    </row>
    <row r="164" spans="3:3" s="2" customFormat="1" x14ac:dyDescent="0.3">
      <c r="C164" s="15"/>
    </row>
    <row r="165" spans="3:3" s="2" customFormat="1" x14ac:dyDescent="0.3">
      <c r="C165" s="15"/>
    </row>
    <row r="166" spans="3:3" s="2" customFormat="1" x14ac:dyDescent="0.3">
      <c r="C166" s="15"/>
    </row>
    <row r="167" spans="3:3" s="2" customFormat="1" x14ac:dyDescent="0.3">
      <c r="C167" s="15"/>
    </row>
    <row r="168" spans="3:3" s="2" customFormat="1" x14ac:dyDescent="0.3">
      <c r="C168" s="15"/>
    </row>
    <row r="169" spans="3:3" s="2" customFormat="1" x14ac:dyDescent="0.3">
      <c r="C169" s="15"/>
    </row>
    <row r="170" spans="3:3" s="2" customFormat="1" x14ac:dyDescent="0.3">
      <c r="C170" s="15"/>
    </row>
    <row r="171" spans="3:3" s="2" customFormat="1" x14ac:dyDescent="0.3">
      <c r="C171" s="15"/>
    </row>
    <row r="172" spans="3:3" s="2" customFormat="1" x14ac:dyDescent="0.3">
      <c r="C172" s="15"/>
    </row>
    <row r="173" spans="3:3" s="2" customFormat="1" x14ac:dyDescent="0.3">
      <c r="C173" s="15"/>
    </row>
    <row r="174" spans="3:3" s="2" customFormat="1" x14ac:dyDescent="0.3">
      <c r="C174" s="15"/>
    </row>
    <row r="175" spans="3:3" s="2" customFormat="1" x14ac:dyDescent="0.3">
      <c r="C175" s="15"/>
    </row>
    <row r="176" spans="3:3" s="2" customFormat="1" x14ac:dyDescent="0.3">
      <c r="C176" s="15"/>
    </row>
    <row r="177" spans="3:3" s="2" customFormat="1" x14ac:dyDescent="0.3">
      <c r="C177" s="15"/>
    </row>
    <row r="178" spans="3:3" s="2" customFormat="1" x14ac:dyDescent="0.3">
      <c r="C178" s="15"/>
    </row>
    <row r="179" spans="3:3" s="2" customFormat="1" x14ac:dyDescent="0.3">
      <c r="C179" s="15"/>
    </row>
    <row r="180" spans="3:3" s="2" customFormat="1" x14ac:dyDescent="0.3">
      <c r="C180" s="15"/>
    </row>
    <row r="181" spans="3:3" s="2" customFormat="1" x14ac:dyDescent="0.3">
      <c r="C181" s="15"/>
    </row>
    <row r="182" spans="3:3" s="2" customFormat="1" x14ac:dyDescent="0.3">
      <c r="C182" s="15"/>
    </row>
    <row r="183" spans="3:3" s="2" customFormat="1" x14ac:dyDescent="0.3">
      <c r="C183" s="15"/>
    </row>
    <row r="184" spans="3:3" s="2" customFormat="1" x14ac:dyDescent="0.3">
      <c r="C184" s="15"/>
    </row>
    <row r="185" spans="3:3" s="2" customFormat="1" x14ac:dyDescent="0.3">
      <c r="C185" s="15"/>
    </row>
    <row r="186" spans="3:3" s="2" customFormat="1" x14ac:dyDescent="0.3">
      <c r="C186" s="15"/>
    </row>
    <row r="187" spans="3:3" s="2" customFormat="1" x14ac:dyDescent="0.3">
      <c r="C187" s="15"/>
    </row>
    <row r="188" spans="3:3" s="2" customFormat="1" x14ac:dyDescent="0.3">
      <c r="C188" s="15"/>
    </row>
    <row r="189" spans="3:3" s="2" customFormat="1" x14ac:dyDescent="0.3">
      <c r="C189" s="15"/>
    </row>
    <row r="190" spans="3:3" s="2" customFormat="1" x14ac:dyDescent="0.3">
      <c r="C190" s="15"/>
    </row>
    <row r="191" spans="3:3" s="2" customFormat="1" x14ac:dyDescent="0.3">
      <c r="C191" s="15"/>
    </row>
    <row r="192" spans="3:3" s="2" customFormat="1" x14ac:dyDescent="0.3">
      <c r="C192" s="15"/>
    </row>
    <row r="193" spans="3:3" s="2" customFormat="1" x14ac:dyDescent="0.3">
      <c r="C193" s="15"/>
    </row>
    <row r="194" spans="3:3" s="2" customFormat="1" x14ac:dyDescent="0.3">
      <c r="C194" s="15"/>
    </row>
    <row r="195" spans="3:3" s="2" customFormat="1" x14ac:dyDescent="0.3">
      <c r="C195" s="15"/>
    </row>
    <row r="196" spans="3:3" s="2" customFormat="1" x14ac:dyDescent="0.3">
      <c r="C196" s="15"/>
    </row>
    <row r="197" spans="3:3" s="2" customFormat="1" x14ac:dyDescent="0.3">
      <c r="C197" s="15"/>
    </row>
    <row r="198" spans="3:3" s="2" customFormat="1" x14ac:dyDescent="0.3">
      <c r="C198" s="15"/>
    </row>
    <row r="199" spans="3:3" s="2" customFormat="1" x14ac:dyDescent="0.3">
      <c r="C199" s="15"/>
    </row>
    <row r="200" spans="3:3" s="2" customFormat="1" x14ac:dyDescent="0.3">
      <c r="C200" s="15"/>
    </row>
    <row r="201" spans="3:3" s="2" customFormat="1" x14ac:dyDescent="0.3">
      <c r="C201" s="15"/>
    </row>
    <row r="202" spans="3:3" s="2" customFormat="1" x14ac:dyDescent="0.3">
      <c r="C202" s="15"/>
    </row>
    <row r="203" spans="3:3" s="2" customFormat="1" x14ac:dyDescent="0.3">
      <c r="C203" s="15"/>
    </row>
    <row r="204" spans="3:3" s="2" customFormat="1" x14ac:dyDescent="0.3">
      <c r="C204" s="15"/>
    </row>
    <row r="205" spans="3:3" s="2" customFormat="1" x14ac:dyDescent="0.3">
      <c r="C205" s="15"/>
    </row>
    <row r="206" spans="3:3" s="2" customFormat="1" x14ac:dyDescent="0.3">
      <c r="C206" s="15"/>
    </row>
    <row r="207" spans="3:3" s="2" customFormat="1" x14ac:dyDescent="0.3">
      <c r="C207" s="15"/>
    </row>
    <row r="208" spans="3:3" s="2" customFormat="1" x14ac:dyDescent="0.3">
      <c r="C208" s="15"/>
    </row>
    <row r="209" spans="3:3" s="2" customFormat="1" x14ac:dyDescent="0.3">
      <c r="C209" s="15"/>
    </row>
    <row r="210" spans="3:3" s="2" customFormat="1" x14ac:dyDescent="0.3">
      <c r="C210" s="15"/>
    </row>
    <row r="211" spans="3:3" s="2" customFormat="1" x14ac:dyDescent="0.3">
      <c r="C211" s="15"/>
    </row>
    <row r="212" spans="3:3" s="2" customFormat="1" x14ac:dyDescent="0.3">
      <c r="C212" s="15"/>
    </row>
    <row r="213" spans="3:3" s="2" customFormat="1" x14ac:dyDescent="0.3">
      <c r="C213" s="15"/>
    </row>
    <row r="214" spans="3:3" s="2" customFormat="1" x14ac:dyDescent="0.3">
      <c r="C214" s="15"/>
    </row>
    <row r="215" spans="3:3" s="2" customFormat="1" x14ac:dyDescent="0.3">
      <c r="C215" s="15"/>
    </row>
    <row r="216" spans="3:3" s="2" customFormat="1" x14ac:dyDescent="0.3">
      <c r="C216" s="15"/>
    </row>
    <row r="217" spans="3:3" s="2" customFormat="1" x14ac:dyDescent="0.3">
      <c r="C217" s="15"/>
    </row>
    <row r="218" spans="3:3" s="2" customFormat="1" x14ac:dyDescent="0.3">
      <c r="C218" s="15"/>
    </row>
    <row r="219" spans="3:3" s="2" customFormat="1" x14ac:dyDescent="0.3">
      <c r="C219" s="15"/>
    </row>
    <row r="220" spans="3:3" s="2" customFormat="1" x14ac:dyDescent="0.3">
      <c r="C220" s="15"/>
    </row>
    <row r="221" spans="3:3" s="2" customFormat="1" x14ac:dyDescent="0.3">
      <c r="C221" s="15"/>
    </row>
    <row r="222" spans="3:3" s="2" customFormat="1" x14ac:dyDescent="0.3">
      <c r="C222" s="15"/>
    </row>
    <row r="223" spans="3:3" s="2" customFormat="1" x14ac:dyDescent="0.3">
      <c r="C223" s="15"/>
    </row>
    <row r="224" spans="3:3" s="2" customFormat="1" x14ac:dyDescent="0.3">
      <c r="C224" s="15"/>
    </row>
    <row r="225" spans="3:3" s="2" customFormat="1" x14ac:dyDescent="0.3">
      <c r="C225" s="15"/>
    </row>
    <row r="226" spans="3:3" s="2" customFormat="1" x14ac:dyDescent="0.3">
      <c r="C226" s="15"/>
    </row>
    <row r="227" spans="3:3" s="2" customFormat="1" x14ac:dyDescent="0.3">
      <c r="C227" s="15"/>
    </row>
    <row r="228" spans="3:3" s="2" customFormat="1" x14ac:dyDescent="0.3">
      <c r="C228" s="15"/>
    </row>
    <row r="229" spans="3:3" s="2" customFormat="1" x14ac:dyDescent="0.3">
      <c r="C229" s="15"/>
    </row>
    <row r="230" spans="3:3" s="2" customFormat="1" x14ac:dyDescent="0.3">
      <c r="C230" s="15"/>
    </row>
    <row r="231" spans="3:3" s="2" customFormat="1" x14ac:dyDescent="0.3">
      <c r="C231" s="15"/>
    </row>
    <row r="232" spans="3:3" s="2" customFormat="1" x14ac:dyDescent="0.3">
      <c r="C232" s="15"/>
    </row>
    <row r="233" spans="3:3" s="2" customFormat="1" x14ac:dyDescent="0.3">
      <c r="C233" s="15"/>
    </row>
    <row r="234" spans="3:3" s="2" customFormat="1" x14ac:dyDescent="0.3">
      <c r="C234" s="15"/>
    </row>
    <row r="235" spans="3:3" s="2" customFormat="1" x14ac:dyDescent="0.3">
      <c r="C235" s="15"/>
    </row>
    <row r="236" spans="3:3" s="2" customFormat="1" x14ac:dyDescent="0.3">
      <c r="C236" s="15"/>
    </row>
    <row r="237" spans="3:3" s="2" customFormat="1" x14ac:dyDescent="0.3">
      <c r="C237" s="15"/>
    </row>
    <row r="238" spans="3:3" s="2" customFormat="1" x14ac:dyDescent="0.3">
      <c r="C238" s="15"/>
    </row>
    <row r="239" spans="3:3" s="2" customFormat="1" x14ac:dyDescent="0.3">
      <c r="C239" s="15"/>
    </row>
    <row r="240" spans="3:3" s="2" customFormat="1" x14ac:dyDescent="0.3">
      <c r="C240" s="15"/>
    </row>
    <row r="241" spans="3:3" s="2" customFormat="1" x14ac:dyDescent="0.3">
      <c r="C241" s="15"/>
    </row>
    <row r="242" spans="3:3" s="2" customFormat="1" x14ac:dyDescent="0.3">
      <c r="C242" s="15"/>
    </row>
    <row r="243" spans="3:3" s="2" customFormat="1" x14ac:dyDescent="0.3">
      <c r="C243" s="15"/>
    </row>
    <row r="244" spans="3:3" s="2" customFormat="1" x14ac:dyDescent="0.3">
      <c r="C244" s="15"/>
    </row>
    <row r="245" spans="3:3" s="2" customFormat="1" x14ac:dyDescent="0.3">
      <c r="C245" s="15"/>
    </row>
    <row r="246" spans="3:3" s="2" customFormat="1" x14ac:dyDescent="0.3">
      <c r="C246" s="15"/>
    </row>
    <row r="247" spans="3:3" s="2" customFormat="1" x14ac:dyDescent="0.3">
      <c r="C247" s="15"/>
    </row>
    <row r="248" spans="3:3" s="2" customFormat="1" x14ac:dyDescent="0.3">
      <c r="C248" s="15"/>
    </row>
    <row r="249" spans="3:3" s="2" customFormat="1" x14ac:dyDescent="0.3">
      <c r="C249" s="15"/>
    </row>
    <row r="250" spans="3:3" s="2" customFormat="1" x14ac:dyDescent="0.3">
      <c r="C250" s="15"/>
    </row>
    <row r="251" spans="3:3" s="2" customFormat="1" x14ac:dyDescent="0.3">
      <c r="C251" s="15"/>
    </row>
    <row r="252" spans="3:3" s="2" customFormat="1" x14ac:dyDescent="0.3">
      <c r="C252" s="15"/>
    </row>
    <row r="253" spans="3:3" s="2" customFormat="1" x14ac:dyDescent="0.3">
      <c r="C253" s="15"/>
    </row>
    <row r="254" spans="3:3" s="2" customFormat="1" x14ac:dyDescent="0.3">
      <c r="C254" s="15"/>
    </row>
    <row r="255" spans="3:3" s="2" customFormat="1" x14ac:dyDescent="0.3">
      <c r="C255" s="15"/>
    </row>
    <row r="256" spans="3:3" s="2" customFormat="1" x14ac:dyDescent="0.3">
      <c r="C256" s="15"/>
    </row>
    <row r="257" spans="3:3" s="2" customFormat="1" x14ac:dyDescent="0.3">
      <c r="C257" s="15"/>
    </row>
    <row r="258" spans="3:3" s="2" customFormat="1" x14ac:dyDescent="0.3">
      <c r="C258" s="15"/>
    </row>
    <row r="259" spans="3:3" s="2" customFormat="1" x14ac:dyDescent="0.3">
      <c r="C259" s="15"/>
    </row>
    <row r="260" spans="3:3" s="2" customFormat="1" x14ac:dyDescent="0.3">
      <c r="C260" s="15"/>
    </row>
    <row r="261" spans="3:3" s="2" customFormat="1" x14ac:dyDescent="0.3">
      <c r="C261" s="15"/>
    </row>
    <row r="262" spans="3:3" s="2" customFormat="1" x14ac:dyDescent="0.3">
      <c r="C262" s="15"/>
    </row>
    <row r="263" spans="3:3" s="2" customFormat="1" x14ac:dyDescent="0.3">
      <c r="C263" s="15"/>
    </row>
    <row r="264" spans="3:3" s="2" customFormat="1" x14ac:dyDescent="0.3">
      <c r="C264" s="15"/>
    </row>
    <row r="265" spans="3:3" s="2" customFormat="1" x14ac:dyDescent="0.3">
      <c r="C265" s="15"/>
    </row>
    <row r="266" spans="3:3" s="2" customFormat="1" x14ac:dyDescent="0.3">
      <c r="C266" s="15"/>
    </row>
    <row r="267" spans="3:3" s="2" customFormat="1" x14ac:dyDescent="0.3">
      <c r="C267" s="15"/>
    </row>
    <row r="268" spans="3:3" s="2" customFormat="1" x14ac:dyDescent="0.3">
      <c r="C268" s="15"/>
    </row>
    <row r="269" spans="3:3" s="2" customFormat="1" x14ac:dyDescent="0.3">
      <c r="C269" s="15"/>
    </row>
    <row r="270" spans="3:3" s="2" customFormat="1" x14ac:dyDescent="0.3">
      <c r="C270" s="15"/>
    </row>
    <row r="271" spans="3:3" s="2" customFormat="1" x14ac:dyDescent="0.3">
      <c r="C271" s="15"/>
    </row>
    <row r="272" spans="3:3" s="2" customFormat="1" x14ac:dyDescent="0.3">
      <c r="C272" s="15"/>
    </row>
    <row r="273" spans="3:3" s="2" customFormat="1" x14ac:dyDescent="0.3">
      <c r="C273" s="15"/>
    </row>
    <row r="274" spans="3:3" s="2" customFormat="1" x14ac:dyDescent="0.3">
      <c r="C274" s="15"/>
    </row>
    <row r="275" spans="3:3" s="2" customFormat="1" x14ac:dyDescent="0.3">
      <c r="C275" s="15"/>
    </row>
    <row r="276" spans="3:3" s="2" customFormat="1" x14ac:dyDescent="0.3">
      <c r="C276" s="15"/>
    </row>
    <row r="277" spans="3:3" s="2" customFormat="1" x14ac:dyDescent="0.3">
      <c r="C277" s="15"/>
    </row>
    <row r="278" spans="3:3" s="2" customFormat="1" x14ac:dyDescent="0.3">
      <c r="C278" s="15"/>
    </row>
    <row r="279" spans="3:3" s="2" customFormat="1" x14ac:dyDescent="0.3">
      <c r="C279" s="15"/>
    </row>
    <row r="280" spans="3:3" s="2" customFormat="1" x14ac:dyDescent="0.3">
      <c r="C280" s="15"/>
    </row>
    <row r="281" spans="3:3" s="2" customFormat="1" x14ac:dyDescent="0.3">
      <c r="C281" s="15"/>
    </row>
    <row r="282" spans="3:3" s="2" customFormat="1" x14ac:dyDescent="0.3">
      <c r="C282" s="15"/>
    </row>
    <row r="283" spans="3:3" s="2" customFormat="1" x14ac:dyDescent="0.3">
      <c r="C283" s="15"/>
    </row>
    <row r="284" spans="3:3" s="2" customFormat="1" x14ac:dyDescent="0.3">
      <c r="C284" s="15"/>
    </row>
    <row r="285" spans="3:3" s="2" customFormat="1" x14ac:dyDescent="0.3">
      <c r="C285" s="15"/>
    </row>
    <row r="286" spans="3:3" s="2" customFormat="1" x14ac:dyDescent="0.3">
      <c r="C286" s="15"/>
    </row>
    <row r="287" spans="3:3" s="2" customFormat="1" x14ac:dyDescent="0.3">
      <c r="C287" s="15"/>
    </row>
    <row r="288" spans="3:3" s="2" customFormat="1" x14ac:dyDescent="0.3">
      <c r="C288" s="15"/>
    </row>
    <row r="289" spans="3:3" s="2" customFormat="1" x14ac:dyDescent="0.3">
      <c r="C289" s="15"/>
    </row>
    <row r="290" spans="3:3" s="2" customFormat="1" x14ac:dyDescent="0.3">
      <c r="C290" s="15"/>
    </row>
    <row r="291" spans="3:3" s="2" customFormat="1" x14ac:dyDescent="0.3">
      <c r="C291" s="15"/>
    </row>
    <row r="292" spans="3:3" s="2" customFormat="1" x14ac:dyDescent="0.3">
      <c r="C292" s="15"/>
    </row>
    <row r="293" spans="3:3" s="2" customFormat="1" x14ac:dyDescent="0.3">
      <c r="C293" s="15"/>
    </row>
    <row r="294" spans="3:3" s="2" customFormat="1" x14ac:dyDescent="0.3">
      <c r="C294" s="15"/>
    </row>
    <row r="295" spans="3:3" s="2" customFormat="1" x14ac:dyDescent="0.3">
      <c r="C295" s="15"/>
    </row>
    <row r="296" spans="3:3" s="2" customFormat="1" x14ac:dyDescent="0.3">
      <c r="C296" s="15"/>
    </row>
    <row r="297" spans="3:3" s="2" customFormat="1" x14ac:dyDescent="0.3">
      <c r="C297" s="15"/>
    </row>
    <row r="298" spans="3:3" s="2" customFormat="1" x14ac:dyDescent="0.3">
      <c r="C298" s="15"/>
    </row>
    <row r="299" spans="3:3" s="2" customFormat="1" x14ac:dyDescent="0.3">
      <c r="C299" s="15"/>
    </row>
    <row r="300" spans="3:3" s="2" customFormat="1" x14ac:dyDescent="0.3">
      <c r="C300" s="15"/>
    </row>
    <row r="301" spans="3:3" s="2" customFormat="1" x14ac:dyDescent="0.3">
      <c r="C301" s="15"/>
    </row>
    <row r="302" spans="3:3" s="2" customFormat="1" x14ac:dyDescent="0.3">
      <c r="C302" s="15"/>
    </row>
    <row r="303" spans="3:3" s="2" customFormat="1" x14ac:dyDescent="0.3">
      <c r="C303" s="15"/>
    </row>
    <row r="304" spans="3:3" s="2" customFormat="1" x14ac:dyDescent="0.3">
      <c r="C304" s="15"/>
    </row>
    <row r="305" spans="3:3" s="2" customFormat="1" x14ac:dyDescent="0.3">
      <c r="C305" s="15"/>
    </row>
    <row r="306" spans="3:3" s="2" customFormat="1" x14ac:dyDescent="0.3">
      <c r="C306" s="15"/>
    </row>
    <row r="307" spans="3:3" s="2" customFormat="1" x14ac:dyDescent="0.3">
      <c r="C307" s="15"/>
    </row>
    <row r="308" spans="3:3" s="2" customFormat="1" x14ac:dyDescent="0.3">
      <c r="C308" s="15"/>
    </row>
    <row r="309" spans="3:3" s="2" customFormat="1" x14ac:dyDescent="0.3">
      <c r="C309" s="15"/>
    </row>
    <row r="310" spans="3:3" s="2" customFormat="1" x14ac:dyDescent="0.3">
      <c r="C310" s="15"/>
    </row>
    <row r="311" spans="3:3" s="2" customFormat="1" x14ac:dyDescent="0.3">
      <c r="C311" s="15"/>
    </row>
    <row r="312" spans="3:3" s="2" customFormat="1" x14ac:dyDescent="0.3">
      <c r="C312" s="15"/>
    </row>
    <row r="313" spans="3:3" s="2" customFormat="1" x14ac:dyDescent="0.3">
      <c r="C313" s="15"/>
    </row>
    <row r="314" spans="3:3" s="2" customFormat="1" x14ac:dyDescent="0.3">
      <c r="C314" s="15"/>
    </row>
    <row r="315" spans="3:3" s="2" customFormat="1" x14ac:dyDescent="0.3">
      <c r="C315" s="15"/>
    </row>
    <row r="316" spans="3:3" s="2" customFormat="1" x14ac:dyDescent="0.3">
      <c r="C316" s="15"/>
    </row>
    <row r="317" spans="3:3" s="2" customFormat="1" x14ac:dyDescent="0.3">
      <c r="C317" s="15"/>
    </row>
    <row r="318" spans="3:3" s="2" customFormat="1" x14ac:dyDescent="0.3">
      <c r="C318" s="15"/>
    </row>
    <row r="319" spans="3:3" s="2" customFormat="1" x14ac:dyDescent="0.3">
      <c r="C319" s="15"/>
    </row>
    <row r="320" spans="3:3" s="2" customFormat="1" x14ac:dyDescent="0.3">
      <c r="C320" s="15"/>
    </row>
    <row r="321" spans="3:3" s="2" customFormat="1" x14ac:dyDescent="0.3">
      <c r="C321" s="15"/>
    </row>
    <row r="322" spans="3:3" s="2" customFormat="1" x14ac:dyDescent="0.3">
      <c r="C322" s="15"/>
    </row>
    <row r="323" spans="3:3" s="2" customFormat="1" x14ac:dyDescent="0.3">
      <c r="C323" s="15"/>
    </row>
    <row r="324" spans="3:3" s="2" customFormat="1" x14ac:dyDescent="0.3">
      <c r="C324" s="15"/>
    </row>
    <row r="325" spans="3:3" s="2" customFormat="1" x14ac:dyDescent="0.3">
      <c r="C325" s="15"/>
    </row>
    <row r="326" spans="3:3" s="2" customFormat="1" x14ac:dyDescent="0.3">
      <c r="C326" s="15"/>
    </row>
    <row r="327" spans="3:3" s="2" customFormat="1" x14ac:dyDescent="0.3">
      <c r="C327" s="15"/>
    </row>
    <row r="328" spans="3:3" s="2" customFormat="1" x14ac:dyDescent="0.3">
      <c r="C328" s="15"/>
    </row>
    <row r="329" spans="3:3" s="2" customFormat="1" x14ac:dyDescent="0.3">
      <c r="C329" s="15"/>
    </row>
    <row r="330" spans="3:3" s="2" customFormat="1" x14ac:dyDescent="0.3">
      <c r="C330" s="15"/>
    </row>
    <row r="331" spans="3:3" s="2" customFormat="1" x14ac:dyDescent="0.3">
      <c r="C331" s="15"/>
    </row>
    <row r="332" spans="3:3" s="2" customFormat="1" x14ac:dyDescent="0.3">
      <c r="C332" s="15"/>
    </row>
    <row r="333" spans="3:3" s="2" customFormat="1" x14ac:dyDescent="0.3">
      <c r="C333" s="15"/>
    </row>
    <row r="334" spans="3:3" s="2" customFormat="1" x14ac:dyDescent="0.3">
      <c r="C334" s="15"/>
    </row>
    <row r="335" spans="3:3" s="2" customFormat="1" x14ac:dyDescent="0.3">
      <c r="C335" s="15"/>
    </row>
    <row r="336" spans="3:3" s="2" customFormat="1" x14ac:dyDescent="0.3">
      <c r="C336" s="15"/>
    </row>
    <row r="337" spans="3:3" s="2" customFormat="1" x14ac:dyDescent="0.3">
      <c r="C337" s="15"/>
    </row>
    <row r="338" spans="3:3" s="2" customFormat="1" x14ac:dyDescent="0.3">
      <c r="C338" s="15"/>
    </row>
    <row r="339" spans="3:3" s="2" customFormat="1" x14ac:dyDescent="0.3">
      <c r="C339" s="15"/>
    </row>
    <row r="340" spans="3:3" s="2" customFormat="1" x14ac:dyDescent="0.3">
      <c r="C340" s="15"/>
    </row>
    <row r="341" spans="3:3" s="2" customFormat="1" x14ac:dyDescent="0.3">
      <c r="C341" s="15"/>
    </row>
    <row r="342" spans="3:3" s="2" customFormat="1" x14ac:dyDescent="0.3">
      <c r="C342" s="15"/>
    </row>
    <row r="343" spans="3:3" s="2" customFormat="1" x14ac:dyDescent="0.3">
      <c r="C343" s="15"/>
    </row>
    <row r="344" spans="3:3" s="2" customFormat="1" x14ac:dyDescent="0.3">
      <c r="C344" s="15"/>
    </row>
    <row r="345" spans="3:3" s="2" customFormat="1" x14ac:dyDescent="0.3">
      <c r="C345" s="15"/>
    </row>
    <row r="346" spans="3:3" s="2" customFormat="1" x14ac:dyDescent="0.3">
      <c r="C346" s="15"/>
    </row>
    <row r="347" spans="3:3" s="2" customFormat="1" x14ac:dyDescent="0.3">
      <c r="C347" s="15"/>
    </row>
    <row r="348" spans="3:3" s="2" customFormat="1" x14ac:dyDescent="0.3">
      <c r="C348" s="15"/>
    </row>
    <row r="349" spans="3:3" s="2" customFormat="1" x14ac:dyDescent="0.3">
      <c r="C349" s="15"/>
    </row>
    <row r="350" spans="3:3" s="2" customFormat="1" x14ac:dyDescent="0.3">
      <c r="C350" s="15"/>
    </row>
    <row r="351" spans="3:3" s="2" customFormat="1" x14ac:dyDescent="0.3">
      <c r="C351" s="15"/>
    </row>
    <row r="352" spans="3:3" s="2" customFormat="1" x14ac:dyDescent="0.3">
      <c r="C352" s="15"/>
    </row>
    <row r="353" spans="3:3" s="2" customFormat="1" x14ac:dyDescent="0.3">
      <c r="C353" s="15"/>
    </row>
    <row r="354" spans="3:3" s="2" customFormat="1" x14ac:dyDescent="0.3">
      <c r="C354" s="15"/>
    </row>
    <row r="355" spans="3:3" s="2" customFormat="1" x14ac:dyDescent="0.3">
      <c r="C355" s="15"/>
    </row>
    <row r="356" spans="3:3" s="2" customFormat="1" x14ac:dyDescent="0.3">
      <c r="C356" s="15"/>
    </row>
    <row r="357" spans="3:3" s="2" customFormat="1" x14ac:dyDescent="0.3">
      <c r="C357" s="15"/>
    </row>
    <row r="358" spans="3:3" s="2" customFormat="1" x14ac:dyDescent="0.3">
      <c r="C358" s="15"/>
    </row>
    <row r="359" spans="3:3" s="2" customFormat="1" x14ac:dyDescent="0.3">
      <c r="C359" s="15"/>
    </row>
    <row r="360" spans="3:3" s="2" customFormat="1" x14ac:dyDescent="0.3">
      <c r="C360" s="15"/>
    </row>
    <row r="361" spans="3:3" s="2" customFormat="1" x14ac:dyDescent="0.3">
      <c r="C361" s="15"/>
    </row>
    <row r="362" spans="3:3" s="2" customFormat="1" x14ac:dyDescent="0.3">
      <c r="C362" s="15"/>
    </row>
    <row r="363" spans="3:3" s="2" customFormat="1" x14ac:dyDescent="0.3">
      <c r="C363" s="15"/>
    </row>
    <row r="364" spans="3:3" s="2" customFormat="1" x14ac:dyDescent="0.3">
      <c r="C364" s="15"/>
    </row>
    <row r="365" spans="3:3" s="2" customFormat="1" x14ac:dyDescent="0.3">
      <c r="C365" s="15"/>
    </row>
    <row r="366" spans="3:3" s="2" customFormat="1" x14ac:dyDescent="0.3">
      <c r="C366" s="15"/>
    </row>
    <row r="367" spans="3:3" s="2" customFormat="1" x14ac:dyDescent="0.3">
      <c r="C367" s="15"/>
    </row>
    <row r="368" spans="3:3" s="2" customFormat="1" x14ac:dyDescent="0.3">
      <c r="C368" s="15"/>
    </row>
    <row r="369" spans="3:3" s="2" customFormat="1" x14ac:dyDescent="0.3">
      <c r="C369" s="15"/>
    </row>
    <row r="370" spans="3:3" s="2" customFormat="1" x14ac:dyDescent="0.3">
      <c r="C370" s="15"/>
    </row>
    <row r="371" spans="3:3" s="2" customFormat="1" x14ac:dyDescent="0.3">
      <c r="C371" s="15"/>
    </row>
    <row r="372" spans="3:3" s="2" customFormat="1" x14ac:dyDescent="0.3">
      <c r="C372" s="15"/>
    </row>
    <row r="373" spans="3:3" s="2" customFormat="1" x14ac:dyDescent="0.3">
      <c r="C373" s="15"/>
    </row>
    <row r="374" spans="3:3" s="2" customFormat="1" x14ac:dyDescent="0.3">
      <c r="C374" s="15"/>
    </row>
    <row r="375" spans="3:3" s="2" customFormat="1" x14ac:dyDescent="0.3">
      <c r="C375" s="15"/>
    </row>
    <row r="376" spans="3:3" s="2" customFormat="1" x14ac:dyDescent="0.3">
      <c r="C376" s="15"/>
    </row>
    <row r="377" spans="3:3" s="2" customFormat="1" x14ac:dyDescent="0.3">
      <c r="C377" s="15"/>
    </row>
    <row r="378" spans="3:3" s="2" customFormat="1" x14ac:dyDescent="0.3">
      <c r="C378" s="15"/>
    </row>
    <row r="379" spans="3:3" s="2" customFormat="1" x14ac:dyDescent="0.3">
      <c r="C379" s="15"/>
    </row>
    <row r="380" spans="3:3" s="2" customFormat="1" x14ac:dyDescent="0.3">
      <c r="C380" s="15"/>
    </row>
    <row r="381" spans="3:3" s="2" customFormat="1" x14ac:dyDescent="0.3">
      <c r="C381" s="15"/>
    </row>
    <row r="382" spans="3:3" s="2" customFormat="1" x14ac:dyDescent="0.3">
      <c r="C382" s="15"/>
    </row>
    <row r="383" spans="3:3" s="2" customFormat="1" x14ac:dyDescent="0.3">
      <c r="C383" s="15"/>
    </row>
    <row r="384" spans="3:3" s="2" customFormat="1" x14ac:dyDescent="0.3">
      <c r="C384" s="15"/>
    </row>
    <row r="385" spans="3:3" s="2" customFormat="1" x14ac:dyDescent="0.3">
      <c r="C385" s="15"/>
    </row>
    <row r="386" spans="3:3" s="2" customFormat="1" x14ac:dyDescent="0.3">
      <c r="C386" s="15"/>
    </row>
    <row r="387" spans="3:3" s="2" customFormat="1" x14ac:dyDescent="0.3">
      <c r="C387" s="15"/>
    </row>
    <row r="388" spans="3:3" s="2" customFormat="1" x14ac:dyDescent="0.3">
      <c r="C388" s="15"/>
    </row>
    <row r="389" spans="3:3" s="2" customFormat="1" x14ac:dyDescent="0.3">
      <c r="C389" s="15"/>
    </row>
    <row r="390" spans="3:3" s="2" customFormat="1" x14ac:dyDescent="0.3">
      <c r="C390" s="15"/>
    </row>
    <row r="391" spans="3:3" s="2" customFormat="1" x14ac:dyDescent="0.3">
      <c r="C391" s="15"/>
    </row>
    <row r="392" spans="3:3" s="2" customFormat="1" x14ac:dyDescent="0.3">
      <c r="C392" s="15"/>
    </row>
    <row r="393" spans="3:3" s="2" customFormat="1" x14ac:dyDescent="0.3">
      <c r="C393" s="15"/>
    </row>
    <row r="394" spans="3:3" s="2" customFormat="1" x14ac:dyDescent="0.3">
      <c r="C394" s="15"/>
    </row>
    <row r="395" spans="3:3" s="2" customFormat="1" x14ac:dyDescent="0.3">
      <c r="C395" s="15"/>
    </row>
    <row r="396" spans="3:3" s="2" customFormat="1" x14ac:dyDescent="0.3">
      <c r="C396" s="15"/>
    </row>
    <row r="397" spans="3:3" s="2" customFormat="1" x14ac:dyDescent="0.3">
      <c r="C397" s="15"/>
    </row>
    <row r="398" spans="3:3" s="2" customFormat="1" x14ac:dyDescent="0.3">
      <c r="C398" s="15"/>
    </row>
    <row r="399" spans="3:3" s="2" customFormat="1" x14ac:dyDescent="0.3">
      <c r="C399" s="15"/>
    </row>
    <row r="400" spans="3:3" s="2" customFormat="1" x14ac:dyDescent="0.3">
      <c r="C400" s="15"/>
    </row>
    <row r="401" spans="3:3" s="2" customFormat="1" x14ac:dyDescent="0.3">
      <c r="C401" s="15"/>
    </row>
    <row r="402" spans="3:3" s="2" customFormat="1" x14ac:dyDescent="0.3">
      <c r="C402" s="15"/>
    </row>
    <row r="403" spans="3:3" s="2" customFormat="1" x14ac:dyDescent="0.3">
      <c r="C403" s="15"/>
    </row>
    <row r="404" spans="3:3" s="2" customFormat="1" x14ac:dyDescent="0.3">
      <c r="C404" s="15"/>
    </row>
    <row r="405" spans="3:3" s="2" customFormat="1" x14ac:dyDescent="0.3">
      <c r="C405" s="15"/>
    </row>
    <row r="406" spans="3:3" s="2" customFormat="1" x14ac:dyDescent="0.3">
      <c r="C406" s="15"/>
    </row>
    <row r="407" spans="3:3" s="2" customFormat="1" x14ac:dyDescent="0.3">
      <c r="C407" s="15"/>
    </row>
    <row r="408" spans="3:3" s="2" customFormat="1" x14ac:dyDescent="0.3">
      <c r="C408" s="15"/>
    </row>
    <row r="409" spans="3:3" s="2" customFormat="1" x14ac:dyDescent="0.3">
      <c r="C409" s="15"/>
    </row>
    <row r="410" spans="3:3" s="2" customFormat="1" x14ac:dyDescent="0.3">
      <c r="C410" s="15"/>
    </row>
    <row r="411" spans="3:3" s="2" customFormat="1" x14ac:dyDescent="0.3">
      <c r="C411" s="15"/>
    </row>
    <row r="412" spans="3:3" s="2" customFormat="1" x14ac:dyDescent="0.3">
      <c r="C412" s="15"/>
    </row>
    <row r="413" spans="3:3" s="2" customFormat="1" x14ac:dyDescent="0.3">
      <c r="C413" s="15"/>
    </row>
    <row r="414" spans="3:3" s="2" customFormat="1" x14ac:dyDescent="0.3">
      <c r="C414" s="15"/>
    </row>
    <row r="415" spans="3:3" s="2" customFormat="1" x14ac:dyDescent="0.3">
      <c r="C415" s="15"/>
    </row>
    <row r="416" spans="3:3" s="2" customFormat="1" x14ac:dyDescent="0.3">
      <c r="C416" s="15"/>
    </row>
    <row r="417" spans="3:3" s="2" customFormat="1" x14ac:dyDescent="0.3">
      <c r="C417" s="15"/>
    </row>
    <row r="418" spans="3:3" s="2" customFormat="1" x14ac:dyDescent="0.3">
      <c r="C418" s="15"/>
    </row>
    <row r="419" spans="3:3" s="2" customFormat="1" x14ac:dyDescent="0.3">
      <c r="C419" s="15"/>
    </row>
    <row r="420" spans="3:3" s="2" customFormat="1" x14ac:dyDescent="0.3">
      <c r="C420" s="15"/>
    </row>
    <row r="421" spans="3:3" s="2" customFormat="1" x14ac:dyDescent="0.3">
      <c r="C421" s="15"/>
    </row>
    <row r="422" spans="3:3" s="2" customFormat="1" x14ac:dyDescent="0.3">
      <c r="C422" s="15"/>
    </row>
    <row r="423" spans="3:3" s="2" customFormat="1" x14ac:dyDescent="0.3">
      <c r="C423" s="15"/>
    </row>
    <row r="424" spans="3:3" s="2" customFormat="1" x14ac:dyDescent="0.3">
      <c r="C424" s="15"/>
    </row>
    <row r="425" spans="3:3" s="2" customFormat="1" x14ac:dyDescent="0.3">
      <c r="C425" s="15"/>
    </row>
    <row r="426" spans="3:3" s="2" customFormat="1" x14ac:dyDescent="0.3">
      <c r="C426" s="15"/>
    </row>
    <row r="427" spans="3:3" s="2" customFormat="1" x14ac:dyDescent="0.3">
      <c r="C427" s="15"/>
    </row>
    <row r="428" spans="3:3" s="2" customFormat="1" x14ac:dyDescent="0.3">
      <c r="C428" s="15"/>
    </row>
    <row r="429" spans="3:3" s="2" customFormat="1" x14ac:dyDescent="0.3">
      <c r="C429" s="15"/>
    </row>
    <row r="430" spans="3:3" s="2" customFormat="1" x14ac:dyDescent="0.3">
      <c r="C430" s="15"/>
    </row>
    <row r="431" spans="3:3" s="2" customFormat="1" x14ac:dyDescent="0.3">
      <c r="C431" s="15"/>
    </row>
    <row r="432" spans="3:3" s="2" customFormat="1" x14ac:dyDescent="0.3">
      <c r="C432" s="15"/>
    </row>
    <row r="433" spans="3:3" s="2" customFormat="1" x14ac:dyDescent="0.3">
      <c r="C433" s="15"/>
    </row>
    <row r="434" spans="3:3" s="2" customFormat="1" x14ac:dyDescent="0.3">
      <c r="C434" s="15"/>
    </row>
    <row r="435" spans="3:3" s="2" customFormat="1" x14ac:dyDescent="0.3">
      <c r="C435" s="15"/>
    </row>
    <row r="436" spans="3:3" s="2" customFormat="1" x14ac:dyDescent="0.3">
      <c r="C436" s="15"/>
    </row>
    <row r="437" spans="3:3" s="2" customFormat="1" x14ac:dyDescent="0.3">
      <c r="C437" s="15"/>
    </row>
    <row r="438" spans="3:3" s="2" customFormat="1" x14ac:dyDescent="0.3">
      <c r="C438" s="15"/>
    </row>
    <row r="439" spans="3:3" s="2" customFormat="1" x14ac:dyDescent="0.3">
      <c r="C439" s="15"/>
    </row>
    <row r="440" spans="3:3" s="2" customFormat="1" x14ac:dyDescent="0.3">
      <c r="C440" s="15"/>
    </row>
    <row r="441" spans="3:3" s="2" customFormat="1" x14ac:dyDescent="0.3">
      <c r="C441" s="15"/>
    </row>
    <row r="442" spans="3:3" s="2" customFormat="1" x14ac:dyDescent="0.3">
      <c r="C442" s="15"/>
    </row>
    <row r="443" spans="3:3" s="2" customFormat="1" x14ac:dyDescent="0.3">
      <c r="C443" s="15"/>
    </row>
    <row r="444" spans="3:3" s="2" customFormat="1" x14ac:dyDescent="0.3">
      <c r="C444" s="15"/>
    </row>
    <row r="445" spans="3:3" s="2" customFormat="1" x14ac:dyDescent="0.3">
      <c r="C445" s="15"/>
    </row>
    <row r="446" spans="3:3" s="2" customFormat="1" x14ac:dyDescent="0.3">
      <c r="C446" s="15"/>
    </row>
    <row r="447" spans="3:3" s="2" customFormat="1" x14ac:dyDescent="0.3">
      <c r="C447" s="15"/>
    </row>
    <row r="448" spans="3:3" s="2" customFormat="1" x14ac:dyDescent="0.3">
      <c r="C448" s="15"/>
    </row>
    <row r="449" spans="3:3" s="2" customFormat="1" x14ac:dyDescent="0.3">
      <c r="C449" s="15"/>
    </row>
    <row r="450" spans="3:3" s="2" customFormat="1" x14ac:dyDescent="0.3">
      <c r="C450" s="15"/>
    </row>
    <row r="451" spans="3:3" s="2" customFormat="1" x14ac:dyDescent="0.3">
      <c r="C451" s="15"/>
    </row>
    <row r="452" spans="3:3" s="2" customFormat="1" x14ac:dyDescent="0.3">
      <c r="C452" s="15"/>
    </row>
    <row r="453" spans="3:3" s="2" customFormat="1" x14ac:dyDescent="0.3">
      <c r="C453" s="15"/>
    </row>
    <row r="454" spans="3:3" s="2" customFormat="1" x14ac:dyDescent="0.3">
      <c r="C454" s="15"/>
    </row>
    <row r="455" spans="3:3" s="2" customFormat="1" x14ac:dyDescent="0.3">
      <c r="C455" s="15"/>
    </row>
    <row r="456" spans="3:3" s="2" customFormat="1" x14ac:dyDescent="0.3">
      <c r="C456" s="15"/>
    </row>
    <row r="457" spans="3:3" s="2" customFormat="1" x14ac:dyDescent="0.3">
      <c r="C457" s="15"/>
    </row>
    <row r="458" spans="3:3" s="2" customFormat="1" x14ac:dyDescent="0.3">
      <c r="C458" s="15"/>
    </row>
    <row r="459" spans="3:3" s="2" customFormat="1" x14ac:dyDescent="0.3">
      <c r="C459" s="15"/>
    </row>
    <row r="460" spans="3:3" s="2" customFormat="1" x14ac:dyDescent="0.3">
      <c r="C460" s="15"/>
    </row>
    <row r="461" spans="3:3" s="2" customFormat="1" x14ac:dyDescent="0.3">
      <c r="C461" s="15"/>
    </row>
    <row r="462" spans="3:3" s="2" customFormat="1" x14ac:dyDescent="0.3">
      <c r="C462" s="15"/>
    </row>
    <row r="463" spans="3:3" s="2" customFormat="1" x14ac:dyDescent="0.3">
      <c r="C463" s="15"/>
    </row>
    <row r="464" spans="3:3" s="2" customFormat="1" x14ac:dyDescent="0.3">
      <c r="C464" s="15"/>
    </row>
    <row r="465" spans="3:3" s="2" customFormat="1" x14ac:dyDescent="0.3">
      <c r="C465" s="15"/>
    </row>
    <row r="466" spans="3:3" s="2" customFormat="1" x14ac:dyDescent="0.3">
      <c r="C466" s="15"/>
    </row>
    <row r="467" spans="3:3" s="2" customFormat="1" x14ac:dyDescent="0.3">
      <c r="C467" s="15"/>
    </row>
    <row r="468" spans="3:3" s="2" customFormat="1" x14ac:dyDescent="0.3">
      <c r="C468" s="15"/>
    </row>
    <row r="469" spans="3:3" s="2" customFormat="1" x14ac:dyDescent="0.3">
      <c r="C469" s="15"/>
    </row>
    <row r="470" spans="3:3" s="2" customFormat="1" x14ac:dyDescent="0.3">
      <c r="C470" s="15"/>
    </row>
    <row r="471" spans="3:3" s="2" customFormat="1" x14ac:dyDescent="0.3">
      <c r="C471" s="15"/>
    </row>
    <row r="472" spans="3:3" s="2" customFormat="1" x14ac:dyDescent="0.3">
      <c r="C472" s="15"/>
    </row>
    <row r="473" spans="3:3" s="2" customFormat="1" x14ac:dyDescent="0.3">
      <c r="C473" s="15"/>
    </row>
    <row r="474" spans="3:3" s="2" customFormat="1" x14ac:dyDescent="0.3">
      <c r="C474" s="15"/>
    </row>
    <row r="475" spans="3:3" s="2" customFormat="1" x14ac:dyDescent="0.3">
      <c r="C475" s="15"/>
    </row>
    <row r="476" spans="3:3" s="2" customFormat="1" x14ac:dyDescent="0.3">
      <c r="C476" s="15"/>
    </row>
    <row r="477" spans="3:3" s="2" customFormat="1" x14ac:dyDescent="0.3">
      <c r="C477" s="15"/>
    </row>
    <row r="478" spans="3:3" s="2" customFormat="1" x14ac:dyDescent="0.3">
      <c r="C478" s="15"/>
    </row>
    <row r="479" spans="3:3" s="2" customFormat="1" x14ac:dyDescent="0.3">
      <c r="C479" s="15"/>
    </row>
    <row r="480" spans="3:3" s="2" customFormat="1" x14ac:dyDescent="0.3">
      <c r="C480" s="15"/>
    </row>
    <row r="481" spans="3:3" s="2" customFormat="1" x14ac:dyDescent="0.3">
      <c r="C481" s="15"/>
    </row>
    <row r="482" spans="3:3" s="2" customFormat="1" x14ac:dyDescent="0.3">
      <c r="C482" s="15"/>
    </row>
    <row r="483" spans="3:3" s="2" customFormat="1" x14ac:dyDescent="0.3">
      <c r="C483" s="15"/>
    </row>
    <row r="484" spans="3:3" s="2" customFormat="1" x14ac:dyDescent="0.3">
      <c r="C484" s="15"/>
    </row>
    <row r="485" spans="3:3" s="2" customFormat="1" x14ac:dyDescent="0.3">
      <c r="C485" s="15"/>
    </row>
    <row r="486" spans="3:3" s="2" customFormat="1" x14ac:dyDescent="0.3">
      <c r="C486" s="15"/>
    </row>
    <row r="487" spans="3:3" s="2" customFormat="1" x14ac:dyDescent="0.3">
      <c r="C487" s="15"/>
    </row>
    <row r="488" spans="3:3" s="2" customFormat="1" x14ac:dyDescent="0.3">
      <c r="C488" s="15"/>
    </row>
    <row r="489" spans="3:3" s="2" customFormat="1" x14ac:dyDescent="0.3">
      <c r="C489" s="15"/>
    </row>
    <row r="490" spans="3:3" s="2" customFormat="1" x14ac:dyDescent="0.3">
      <c r="C490" s="15"/>
    </row>
    <row r="491" spans="3:3" s="2" customFormat="1" x14ac:dyDescent="0.3">
      <c r="C491" s="15"/>
    </row>
    <row r="492" spans="3:3" s="2" customFormat="1" x14ac:dyDescent="0.3">
      <c r="C492" s="15"/>
    </row>
    <row r="493" spans="3:3" s="2" customFormat="1" x14ac:dyDescent="0.3">
      <c r="C493" s="15"/>
    </row>
    <row r="494" spans="3:3" s="2" customFormat="1" x14ac:dyDescent="0.3">
      <c r="C494" s="15"/>
    </row>
    <row r="495" spans="3:3" s="2" customFormat="1" x14ac:dyDescent="0.3">
      <c r="C495" s="15"/>
    </row>
    <row r="496" spans="3:3" s="2" customFormat="1" x14ac:dyDescent="0.3">
      <c r="C496" s="15"/>
    </row>
    <row r="497" spans="3:3" s="2" customFormat="1" x14ac:dyDescent="0.3">
      <c r="C497" s="15"/>
    </row>
    <row r="498" spans="3:3" s="2" customFormat="1" x14ac:dyDescent="0.3">
      <c r="C498" s="15"/>
    </row>
    <row r="499" spans="3:3" s="2" customFormat="1" x14ac:dyDescent="0.3">
      <c r="C499" s="15"/>
    </row>
    <row r="500" spans="3:3" s="2" customFormat="1" x14ac:dyDescent="0.3">
      <c r="C500" s="15"/>
    </row>
    <row r="501" spans="3:3" s="2" customFormat="1" x14ac:dyDescent="0.3">
      <c r="C501" s="15"/>
    </row>
    <row r="502" spans="3:3" s="2" customFormat="1" x14ac:dyDescent="0.3">
      <c r="C502" s="15"/>
    </row>
    <row r="503" spans="3:3" s="2" customFormat="1" x14ac:dyDescent="0.3">
      <c r="C503" s="15"/>
    </row>
    <row r="504" spans="3:3" s="2" customFormat="1" x14ac:dyDescent="0.3">
      <c r="C504" s="15"/>
    </row>
    <row r="505" spans="3:3" s="2" customFormat="1" x14ac:dyDescent="0.3">
      <c r="C505" s="15"/>
    </row>
    <row r="506" spans="3:3" s="2" customFormat="1" x14ac:dyDescent="0.3">
      <c r="C506" s="15"/>
    </row>
    <row r="507" spans="3:3" s="2" customFormat="1" x14ac:dyDescent="0.3">
      <c r="C507" s="15"/>
    </row>
    <row r="508" spans="3:3" s="2" customFormat="1" x14ac:dyDescent="0.3">
      <c r="C508" s="15"/>
    </row>
    <row r="509" spans="3:3" s="2" customFormat="1" x14ac:dyDescent="0.3">
      <c r="C509" s="15"/>
    </row>
    <row r="510" spans="3:3" s="2" customFormat="1" x14ac:dyDescent="0.3">
      <c r="C510" s="15"/>
    </row>
    <row r="511" spans="3:3" s="2" customFormat="1" x14ac:dyDescent="0.3">
      <c r="C511" s="15"/>
    </row>
    <row r="512" spans="3:3" s="2" customFormat="1" x14ac:dyDescent="0.3">
      <c r="C512" s="15"/>
    </row>
    <row r="513" spans="2:9" s="2" customFormat="1" x14ac:dyDescent="0.3">
      <c r="C513" s="15"/>
    </row>
    <row r="514" spans="2:9" s="2" customFormat="1" x14ac:dyDescent="0.3">
      <c r="C514" s="15"/>
    </row>
    <row r="515" spans="2:9" s="2" customFormat="1" x14ac:dyDescent="0.3">
      <c r="C515" s="15"/>
    </row>
    <row r="516" spans="2:9" s="2" customFormat="1" x14ac:dyDescent="0.3">
      <c r="C516" s="15"/>
    </row>
    <row r="517" spans="2:9" s="2" customFormat="1" x14ac:dyDescent="0.3">
      <c r="B517"/>
      <c r="C517" s="19"/>
      <c r="D517"/>
      <c r="E517"/>
      <c r="F517"/>
      <c r="G517"/>
      <c r="H517"/>
      <c r="I517"/>
    </row>
    <row r="518" spans="2:9" s="2" customFormat="1" x14ac:dyDescent="0.3">
      <c r="B518"/>
      <c r="C518" s="19"/>
      <c r="D518"/>
      <c r="E518"/>
      <c r="F518"/>
      <c r="G518"/>
      <c r="H518"/>
      <c r="I518"/>
    </row>
    <row r="519" spans="2:9" s="2" customFormat="1" x14ac:dyDescent="0.3">
      <c r="B519"/>
      <c r="C519" s="19"/>
      <c r="D519"/>
      <c r="E519"/>
      <c r="F519"/>
      <c r="G519"/>
      <c r="H519"/>
      <c r="I519"/>
    </row>
  </sheetData>
  <mergeCells count="2">
    <mergeCell ref="B13:I13"/>
    <mergeCell ref="B2:D2"/>
  </mergeCells>
  <phoneticPr fontId="10" type="noConversion"/>
  <dataValidations count="1">
    <dataValidation type="list" allowBlank="1" showErrorMessage="1" sqref="G14:G19 G36:G37 G59 G42:G43 G45 G63 G39:G40 G47:G48 G108 G73 G75 G77:G78 G80 G82:G83 G23:G34 G61 G85 G87 G71 G89 G100 G91 G93:G97 G110:G115 G102 G104 G106 G50:G57" xr:uid="{00000000-0002-0000-0100-000000000000}">
      <formula1>"Pass,Fail,On hold,Not Executed"</formula1>
    </dataValidation>
  </dataValidation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B38B7-5039-49F4-ACBA-D272453E2B7E}">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B850629D52856C4B8B905BD5E128D02A" ma:contentTypeVersion="22" ma:contentTypeDescription="Create a new document." ma:contentTypeScope="" ma:versionID="69ca3b096df35a894ebfa640d9aadcd0">
  <xsd:schema xmlns:xsd="http://www.w3.org/2001/XMLSchema" xmlns:xs="http://www.w3.org/2001/XMLSchema" xmlns:p="http://schemas.microsoft.com/office/2006/metadata/properties" xmlns:ns2="e6b9d620-2d63-4d70-987f-92b08f2615c7" xmlns:ns3="a9c462d1-2ca3-4f0c-ab01-e2272e0ea437" xmlns:ns4="http://schemas.microsoft.com/sharepoint/v3/fields" targetNamespace="http://schemas.microsoft.com/office/2006/metadata/properties" ma:root="true" ma:fieldsID="ae131982beb4225e768b479320edb28b" ns2:_="" ns3:_="" ns4:_="">
    <xsd:import namespace="e6b9d620-2d63-4d70-987f-92b08f2615c7"/>
    <xsd:import namespace="a9c462d1-2ca3-4f0c-ab01-e2272e0ea437"/>
    <xsd:import namespace="http://schemas.microsoft.com/sharepoint/v3/fields"/>
    <xsd:element name="properties">
      <xsd:complexType>
        <xsd:sequence>
          <xsd:element name="documentManagement">
            <xsd:complexType>
              <xsd:all>
                <xsd:element ref="ns2:_dlc_DocId" minOccurs="0"/>
                <xsd:element ref="ns2:_dlc_DocIdUrl" minOccurs="0"/>
                <xsd:element ref="ns2:_dlc_DocIdPersistId" minOccurs="0"/>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GenerationTime" minOccurs="0"/>
                <xsd:element ref="ns3:MediaServiceEventHashCode" minOccurs="0"/>
                <xsd:element ref="ns3:MediaServiceOCR" minOccurs="0"/>
                <xsd:element ref="ns3:MediaLengthInSeconds" minOccurs="0"/>
                <xsd:element ref="ns3:lcf76f155ced4ddcb4097134ff3c332f" minOccurs="0"/>
                <xsd:element ref="ns2:TaxCatchAll" minOccurs="0"/>
                <xsd:element ref="ns3:MediaServiceLocation" minOccurs="0"/>
                <xsd:element ref="ns3:MediaServiceObjectDetectorVersions" minOccurs="0"/>
                <xsd:element ref="ns3:_ModernAudienceTargetUserField" minOccurs="0"/>
                <xsd:element ref="ns3:_ModernAudienceAadObjectIds" minOccurs="0"/>
                <xsd:element ref="ns4:_DCDateCreated" minOccurs="0"/>
                <xsd:element ref="ns4:_DCDateModified"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6b9d620-2d63-4d70-987f-92b08f2615c7"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25" nillable="true" ma:displayName="Taxonomy Catch All Column" ma:hidden="true" ma:list="{f3d1c232-a707-471a-b7a2-c7207e7a8eaf}" ma:internalName="TaxCatchAll" ma:showField="CatchAllData" ma:web="e6b9d620-2d63-4d70-987f-92b08f2615c7">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a9c462d1-2ca3-4f0c-ab01-e2272e0ea437" elementFormDefault="qualified">
    <xsd:import namespace="http://schemas.microsoft.com/office/2006/documentManagement/types"/>
    <xsd:import namespace="http://schemas.microsoft.com/office/infopath/2007/PartnerControls"/>
    <xsd:element name="MediaServiceMetadata" ma:index="13" nillable="true" ma:displayName="MediaServiceMetadata" ma:hidden="true" ma:internalName="MediaServiceMetadata" ma:readOnly="true">
      <xsd:simpleType>
        <xsd:restriction base="dms:Note"/>
      </xsd:simpleType>
    </xsd:element>
    <xsd:element name="MediaServiceFastMetadata" ma:index="14" nillable="true" ma:displayName="MediaServiceFastMetadata" ma:hidden="true" ma:internalName="MediaServiceFastMetadata" ma:readOnly="true">
      <xsd:simpleType>
        <xsd:restriction base="dms:Note"/>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DateTaken" ma:index="17" nillable="true" ma:displayName="MediaServiceDateTaken" ma:hidden="true" ma:internalName="MediaServiceDateTaken" ma:readOnly="true">
      <xsd:simpleType>
        <xsd:restriction base="dms:Text"/>
      </xsd:simpleType>
    </xsd:element>
    <xsd:element name="MediaServiceAutoTags" ma:index="18" nillable="true" ma:displayName="Tags" ma:internalName="MediaServiceAutoTags" ma:readOnly="true">
      <xsd:simpleType>
        <xsd:restriction base="dms:Text"/>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LengthInSeconds" ma:index="22" nillable="true" ma:displayName="MediaLengthInSeconds" ma:hidden="true" ma:internalName="MediaLengthInSeconds" ma:readOnly="true">
      <xsd:simpleType>
        <xsd:restriction base="dms:Unknown"/>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53792688-ef23-4422-a71a-2e88290d85e0"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internalName="MediaServiceLocation" ma:readOnly="true">
      <xsd:simpleType>
        <xsd:restriction base="dms:Text"/>
      </xsd:simple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_ModernAudienceTargetUserField" ma:index="28" nillable="true" ma:displayName="Audience" ma:list="UserInfo" ma:SharePointGroup="0" ma:internalName="_ModernAudienceTargetUserField"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_ModernAudienceAadObjectIds" ma:index="29" nillable="true" ma:displayName="AudienceIds" ma:list="{faa99aff-8ef4-4086-8a43-d3732421b0d4}" ma:internalName="_ModernAudienceAadObjectIds" ma:readOnly="true" ma:showField="_AadObjectIdForUser" ma:web="e6b9d620-2d63-4d70-987f-92b08f2615c7">
      <xsd:complexType>
        <xsd:complexContent>
          <xsd:extension base="dms:MultiChoiceLookup">
            <xsd:sequence>
              <xsd:element name="Value" type="dms:Lookup" maxOccurs="unbounded" minOccurs="0" nillable="true"/>
            </xsd:sequence>
          </xsd:extension>
        </xsd:complexContent>
      </xsd:complexType>
    </xsd:element>
    <xsd:element name="MediaServiceSearchProperties" ma:index="3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DCDateCreated" ma:index="30" nillable="true" ma:displayName="Date Created" ma:description="The date on which this resource was created" ma:format="DateTime" ma:indexed="true" ma:internalName="_DCDateCreated">
      <xsd:simpleType>
        <xsd:restriction base="dms:DateTime"/>
      </xsd:simpleType>
    </xsd:element>
    <xsd:element name="_DCDateModified" ma:index="31" nillable="true" ma:displayName="Date Modified" ma:default="[today]" ma:description="The date on which this resource was last modified" ma:format="DateTime" ma:internalName="_DCDateModified">
      <xsd:simpleType>
        <xsd:restriction base="dms:DateTim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4.xml><?xml version="1.0" encoding="utf-8"?>
<p:properties xmlns:p="http://schemas.microsoft.com/office/2006/metadata/properties" xmlns:xsi="http://www.w3.org/2001/XMLSchema-instance" xmlns:pc="http://schemas.microsoft.com/office/infopath/2007/PartnerControls">
  <documentManagement>
    <TaxCatchAll xmlns="e6b9d620-2d63-4d70-987f-92b08f2615c7" xsi:nil="true"/>
    <lcf76f155ced4ddcb4097134ff3c332f xmlns="a9c462d1-2ca3-4f0c-ab01-e2272e0ea437">
      <Terms xmlns="http://schemas.microsoft.com/office/infopath/2007/PartnerControls"/>
    </lcf76f155ced4ddcb4097134ff3c332f>
    <SharedWithUsers xmlns="e6b9d620-2d63-4d70-987f-92b08f2615c7">
      <UserInfo>
        <DisplayName/>
        <AccountId xsi:nil="true"/>
        <AccountType/>
      </UserInfo>
    </SharedWithUsers>
    <MediaLengthInSeconds xmlns="a9c462d1-2ca3-4f0c-ab01-e2272e0ea437" xsi:nil="true"/>
    <_dlc_DocId xmlns="e6b9d620-2d63-4d70-987f-92b08f2615c7">SEAKN2HDVREW-1028582682-38294</_dlc_DocId>
    <_dlc_DocIdUrl xmlns="e6b9d620-2d63-4d70-987f-92b08f2615c7">
      <Url>https://emblaasia.sharepoint.com/sites/dc/_layouts/15/DocIdRedir.aspx?ID=SEAKN2HDVREW-1028582682-38294</Url>
      <Description>SEAKN2HDVREW-1028582682-38294</Description>
    </_dlc_DocIdUrl>
    <_DCDateModified xmlns="http://schemas.microsoft.com/sharepoint/v3/fields">2023-11-21T05:36:56+00:00</_DCDateModified>
    <_ModernAudienceTargetUserField xmlns="a9c462d1-2ca3-4f0c-ab01-e2272e0ea437">
      <UserInfo>
        <DisplayName/>
        <AccountId xsi:nil="true"/>
        <AccountType/>
      </UserInfo>
    </_ModernAudienceTargetUserField>
    <_DCDateCreated xmlns="http://schemas.microsoft.com/sharepoint/v3/fields" xsi:nil="true"/>
  </documentManagement>
</p:properties>
</file>

<file path=customXml/itemProps1.xml><?xml version="1.0" encoding="utf-8"?>
<ds:datastoreItem xmlns:ds="http://schemas.openxmlformats.org/officeDocument/2006/customXml" ds:itemID="{CD5DC04D-BAF8-475D-8DBD-3D67CE7830AA}">
  <ds:schemaRefs>
    <ds:schemaRef ds:uri="http://schemas.microsoft.com/sharepoint/v3/contenttype/forms"/>
  </ds:schemaRefs>
</ds:datastoreItem>
</file>

<file path=customXml/itemProps2.xml><?xml version="1.0" encoding="utf-8"?>
<ds:datastoreItem xmlns:ds="http://schemas.openxmlformats.org/officeDocument/2006/customXml" ds:itemID="{6548AFDA-EAD6-4179-AF1F-74B21017C44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6b9d620-2d63-4d70-987f-92b08f2615c7"/>
    <ds:schemaRef ds:uri="a9c462d1-2ca3-4f0c-ab01-e2272e0ea437"/>
    <ds:schemaRef ds:uri="http://schemas.microsoft.com/sharepoint/v3/field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275DBA2-BA95-4429-AD27-BB2628744A20}">
  <ds:schemaRefs>
    <ds:schemaRef ds:uri="http://schemas.microsoft.com/sharepoint/events"/>
  </ds:schemaRefs>
</ds:datastoreItem>
</file>

<file path=customXml/itemProps4.xml><?xml version="1.0" encoding="utf-8"?>
<ds:datastoreItem xmlns:ds="http://schemas.openxmlformats.org/officeDocument/2006/customXml" ds:itemID="{CA2773F3-E295-46C0-9242-37C56248B420}">
  <ds:schemaRefs>
    <ds:schemaRef ds:uri="http://schemas.microsoft.com/office/2006/metadata/properties"/>
    <ds:schemaRef ds:uri="http://schemas.microsoft.com/office/infopath/2007/PartnerControls"/>
    <ds:schemaRef ds:uri="e6b9d620-2d63-4d70-987f-92b08f2615c7"/>
    <ds:schemaRef ds:uri="a9c462d1-2ca3-4f0c-ab01-e2272e0ea437"/>
    <ds:schemaRef ds:uri="http://schemas.microsoft.com/sharepoint/v3/field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Sheet2</vt:lpstr>
      <vt:lpstr>Sheet3</vt:lpstr>
      <vt:lpstr>Test Cases</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Eranga Rajapaksha</dc:creator>
  <cp:keywords/>
  <dc:description/>
  <cp:lastModifiedBy>Dell</cp:lastModifiedBy>
  <cp:revision/>
  <dcterms:created xsi:type="dcterms:W3CDTF">2022-02-10T04:13:43Z</dcterms:created>
  <dcterms:modified xsi:type="dcterms:W3CDTF">2024-12-05T16:45:50Z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0x010100B850629D52856C4B8B905BD5E128D02A</vt:lpwstr>
  </property>
  <property fmtid="{D5CDD505-2E9C-101B-9397-08002B2CF9AE}" pid="3" name="Order">
    <vt:r8>41600</vt:r8>
  </property>
  <property fmtid="{D5CDD505-2E9C-101B-9397-08002B2CF9AE}" pid="4" name="xd_Signature">
    <vt:bool>false</vt:bool>
  </property>
  <property fmtid="{D5CDD505-2E9C-101B-9397-08002B2CF9AE}" pid="5" name="xd_ProgID">
    <vt:lpwstr/>
  </property>
  <property fmtid="{D5CDD505-2E9C-101B-9397-08002B2CF9AE}" pid="6" name="_ExtendedDescription">
    <vt:lpwstr/>
  </property>
  <property fmtid="{D5CDD505-2E9C-101B-9397-08002B2CF9AE}" pid="7" name="TriggerFlowInfo">
    <vt:lpwstr/>
  </property>
  <property fmtid="{D5CDD505-2E9C-101B-9397-08002B2CF9AE}" pid="8" name="_SourceUrl">
    <vt:lpwstr/>
  </property>
  <property fmtid="{D5CDD505-2E9C-101B-9397-08002B2CF9AE}" pid="9" name="_SharedFileIndex">
    <vt:lpwstr/>
  </property>
  <property fmtid="{D5CDD505-2E9C-101B-9397-08002B2CF9AE}" pid="10" name="ComplianceAssetId">
    <vt:lpwstr/>
  </property>
  <property fmtid="{D5CDD505-2E9C-101B-9397-08002B2CF9AE}" pid="11" name="TemplateUrl">
    <vt:lpwstr/>
  </property>
  <property fmtid="{D5CDD505-2E9C-101B-9397-08002B2CF9AE}" pid="12" name="MediaServiceImageTags">
    <vt:lpwstr/>
  </property>
  <property fmtid="{D5CDD505-2E9C-101B-9397-08002B2CF9AE}" pid="13" name="_dlc_DocIdItemGuid">
    <vt:lpwstr>17a30b67-7add-4e77-9226-f80af7c37223</vt:lpwstr>
  </property>
</Properties>
</file>
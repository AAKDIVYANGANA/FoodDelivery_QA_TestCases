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06660AD5-FB47-4B82-8866-8BE169D4F3B1}" xr6:coauthVersionLast="47" xr6:coauthVersionMax="47" xr10:uidLastSave="{00000000-0000-0000-0000-000000000000}"/>
  <bookViews>
    <workbookView xWindow="-108" yWindow="-108" windowWidth="23256" windowHeight="12576" xr2:uid="{00000000-000D-0000-FFFF-FFFF00000000}"/>
  </bookViews>
  <sheets>
    <sheet name="Test Cases" sheetId="4" r:id="rId1"/>
    <sheet name="Sheet1" sheetId="5"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ipA2dnKt9atfDyoeR4cQy1f3rYxg=="/>
    </ext>
  </extLst>
</workbook>
</file>

<file path=xl/calcChain.xml><?xml version="1.0" encoding="utf-8"?>
<calcChain xmlns="http://schemas.openxmlformats.org/spreadsheetml/2006/main">
  <c r="C9" i="4" l="1"/>
  <c r="C7" i="4"/>
  <c r="C6" i="4"/>
  <c r="C5" i="4"/>
  <c r="C4" i="4"/>
  <c r="D6" i="4" l="1"/>
  <c r="D7" i="4"/>
  <c r="D5" i="4"/>
  <c r="D4" i="4"/>
  <c r="C8" i="4"/>
  <c r="D8" i="4" s="1"/>
</calcChain>
</file>

<file path=xl/sharedStrings.xml><?xml version="1.0" encoding="utf-8"?>
<sst xmlns="http://schemas.openxmlformats.org/spreadsheetml/2006/main" count="324" uniqueCount="215">
  <si>
    <t>Pass</t>
  </si>
  <si>
    <t>Fail</t>
  </si>
  <si>
    <t>On hold</t>
  </si>
  <si>
    <t>Test Cases</t>
  </si>
  <si>
    <t>Status</t>
  </si>
  <si>
    <t>Number of Test Cases</t>
  </si>
  <si>
    <t>Percentage %</t>
  </si>
  <si>
    <t>Not Executed</t>
  </si>
  <si>
    <t>Number of test cases executed</t>
  </si>
  <si>
    <t>Total Number of Test Cases</t>
  </si>
  <si>
    <t>Test Case</t>
  </si>
  <si>
    <t xml:space="preserve">Test Description </t>
  </si>
  <si>
    <t>Steps to recreate</t>
  </si>
  <si>
    <t>Test data</t>
  </si>
  <si>
    <t>Expected results</t>
  </si>
  <si>
    <t>Comments</t>
  </si>
  <si>
    <t>Tested by</t>
  </si>
  <si>
    <t xml:space="preserve">System should display an error message </t>
  </si>
  <si>
    <t>Mobile SignUp_1</t>
  </si>
  <si>
    <t>Enter every details correctly and signup correctly</t>
  </si>
  <si>
    <t>Customers should be able to view home page</t>
  </si>
  <si>
    <t>Display Home page                                                      Display "Registered successfully" Message</t>
  </si>
  <si>
    <t>Ahinsa</t>
  </si>
  <si>
    <t>Mobile SignUp_2</t>
  </si>
  <si>
    <t>Verify that the system prevents signing up with an already registered email.</t>
  </si>
  <si>
    <t>Mobile SignUp_3</t>
  </si>
  <si>
    <t>Verify that the system prevents signing up with invalid phone number</t>
  </si>
  <si>
    <t>Mobile SignUp_4</t>
  </si>
  <si>
    <t>Verify that the system prevents signing up with empty name column.</t>
  </si>
  <si>
    <t>Display "Please enter Name." Message</t>
  </si>
  <si>
    <t>Mobile SignUp_5</t>
  </si>
  <si>
    <t>Verify that the system prevents signing up with empty phone number column.</t>
  </si>
  <si>
    <t>Display "Please enter phone number." Message</t>
  </si>
  <si>
    <t>Mobile SignUp_6</t>
  </si>
  <si>
    <t>Verify that the system prevents signing up with empty email column.</t>
  </si>
  <si>
    <t>Mobile SignUp_7</t>
  </si>
  <si>
    <t>Verify that the system prevents signing up with empty address column.</t>
  </si>
  <si>
    <t>Mobile SignUp_8</t>
  </si>
  <si>
    <t>Verify that the system prevents signing up with empty password column.</t>
  </si>
  <si>
    <t>Display "Please enter Password." Message in Password box and Display"Password do not match"in password confirm box</t>
  </si>
  <si>
    <t>Mobile SignUp_9</t>
  </si>
  <si>
    <t>Verify that the system prevents signing up with empty confirm password column.</t>
  </si>
  <si>
    <t xml:space="preserve">                                                                              </t>
  </si>
  <si>
    <t>Mobile SignUp_10</t>
  </si>
  <si>
    <t>Verify that the system prevents signing up with empty city column.</t>
  </si>
  <si>
    <t>Mobile Login_1</t>
  </si>
  <si>
    <t>Avoid entering both email and password</t>
  </si>
  <si>
    <t>1.Go to the food ordering application(URL)                                      2.Navigate to the Login page                                                                                            3.Keep email address and password null                                                                     4.Click on "Login"button</t>
  </si>
  <si>
    <t>Mobile Login_2</t>
  </si>
  <si>
    <t>Login with correct email address  and correct password</t>
  </si>
  <si>
    <t>1.Go to the food ordering application(URL)                                      2.Navigate to the Login page                                                                                            3.Enter a valid email address                                                                    4.Enter a valid password                                                                        5.Click on "Login"button</t>
  </si>
  <si>
    <t>Display home page</t>
  </si>
  <si>
    <t>Mobile Login_3</t>
  </si>
  <si>
    <t>Login with correct email address  and incorrect password</t>
  </si>
  <si>
    <t>1.Go to the food ordering application(URL)                                      2.Navigate to the Login page                                                                                            3.Enter a valid email address                                                                    4.Enter a invalid password                                                                        5.Click on "Login"button</t>
  </si>
  <si>
    <t>Customers shouldn't be able to view home page</t>
  </si>
  <si>
    <t>Mobile Login_4</t>
  </si>
  <si>
    <t>Login with incorrect email address  and correct password</t>
  </si>
  <si>
    <t>1.Go to the food ordering application(URL)                                      2.Navigate to the Login page                                                                                            3.Enter a invalid email address                                                                   4.Enter a valid password                                                                        5.Click on "Login"button</t>
  </si>
  <si>
    <t>Mobile Login_5</t>
  </si>
  <si>
    <t>Login with incorrect email address  and incorrect password</t>
  </si>
  <si>
    <t>1.Go to the food ordering application(URL)                                      2.Navigate to the Login page                                                                                            3.Enter a invalid email address                                                                   4.Enter a invalid password                                                                        5.Click on "Login"button</t>
  </si>
  <si>
    <t>Mobile Login_6</t>
  </si>
  <si>
    <t>Login with unregistered user email and password</t>
  </si>
  <si>
    <t>1.Go to the food ordering application(URL)                                      2.Navigate to the Login page                                                                                            3.Enter a unregistered email address                                                                   4.Enter a unregistered password                                                                        5.Click on "Login"button</t>
  </si>
  <si>
    <t>email-  jane@gmail.com                                                      Password-1234</t>
  </si>
  <si>
    <t>Mobile Search Menu_1</t>
  </si>
  <si>
    <t>Verify that the customer can view foods directly by search first letter of foods in search food bar.</t>
  </si>
  <si>
    <t xml:space="preserve">1.Go to the food ordering application(URL)                                      2.Navigate to the Menu page                                                         3.Enter a first letter of food in search food bar                                                                                        3.Click on"Search" button                                                    </t>
  </si>
  <si>
    <t>Enter "C" for view Chicken biriyani</t>
  </si>
  <si>
    <t>System should display  dishes include "C" in food name</t>
  </si>
  <si>
    <t>Display dishes include "C" in food name.</t>
  </si>
  <si>
    <t>Mobile Search Menu_2</t>
  </si>
  <si>
    <t>Verify that the customer can view specific food directly by search food name in search foods bar.</t>
  </si>
  <si>
    <t xml:space="preserve">1.Go to the food ordering application(URL)                                      2.Navigate to the Menu page                                                         3.Enter a name of food in search food bar                                                                                        3.Click on"Search" button                                                    </t>
  </si>
  <si>
    <t>Enter "Chicken biriyani" for view Chicken biriyani</t>
  </si>
  <si>
    <t>System should display  only Ckicken Biriyani dish</t>
  </si>
  <si>
    <t>Display only Chicken Biriyani dish</t>
  </si>
  <si>
    <t>Mobile User Assistant</t>
  </si>
  <si>
    <t>Helping user with giving instructions</t>
  </si>
  <si>
    <t xml:space="preserve">1.Go to the food ordering application(URL)                                      2.Navigate to the home page                                                                   3.Click on"user assist" button                                                    </t>
  </si>
  <si>
    <t>Mobile Food Categories</t>
  </si>
  <si>
    <t>Showing food items</t>
  </si>
  <si>
    <t>Mobile Food Quantity_1</t>
  </si>
  <si>
    <t>increasing quantity of  food item</t>
  </si>
  <si>
    <t xml:space="preserve">1.Go to the food ordering application(URL)                                      2.Navigate to the Menu page                                                         3.Select the food item                                                                                   4.Click + button to increase the quantity of food item                                                                                             </t>
  </si>
  <si>
    <t>System should display quantity of Egg and Vegetable Fried Rice</t>
  </si>
  <si>
    <t>Display Quantity:3</t>
  </si>
  <si>
    <t>Mobile Food Quantity_2</t>
  </si>
  <si>
    <t>decreasing quantity of  food item</t>
  </si>
  <si>
    <t xml:space="preserve">1.Go to the food ordering application(URL)                                      2.Navigate to the Menu page                                                         3.Select the food item                                                                                   4.Click - button to increase the quantity of food item                                                                                             </t>
  </si>
  <si>
    <t>Display Quantity:1</t>
  </si>
  <si>
    <t>Mobile Food Customize</t>
  </si>
  <si>
    <t xml:space="preserve">Item-Chicken Biriyani                              Customize-Add one boiled egg                                                                                                                                                                                                                                                                                                                                                                                              </t>
  </si>
  <si>
    <t xml:space="preserve">System should display 1 boiled egg </t>
  </si>
  <si>
    <t xml:space="preserve">Display 1 boiled egg </t>
  </si>
  <si>
    <t>Mobile Add to cart_1</t>
  </si>
  <si>
    <t>Adding food items to cart</t>
  </si>
  <si>
    <t xml:space="preserve">1.Go to the food ordering application(URL)                                      2.Navigate to the Menu page                                                         3.Select the food item                                                                                   4.Select the quantity of food item and customize as preference                                                                         5.Click Add to Cart button                               </t>
  </si>
  <si>
    <t>item should display in cart page</t>
  </si>
  <si>
    <t>Mobile Add to cart_2</t>
  </si>
  <si>
    <t>Adding same food item again to the cart</t>
  </si>
  <si>
    <t xml:space="preserve">1.Go to the food ordering application(URL)                                      2.Navigate to the Menu page                                                         3.Select the prevoiusly added  same food item                                                                                4.Select the quantity of food item and customize as preference                                                                         5.Click Add to Cart button  again                      </t>
  </si>
  <si>
    <t xml:space="preserve">Item-Chicken Biriyani                              Customize-Add one fried egg                                                                                                                                                                                                                                                                                                                                                                                              </t>
  </si>
  <si>
    <t>Chicken biriyani display in cart page as quantity of two</t>
  </si>
  <si>
    <t>Mobile Add to cart_3</t>
  </si>
  <si>
    <t>Deleting item by cart</t>
  </si>
  <si>
    <t xml:space="preserve">Item-Chicken Biriyani                                                                                                                                                                                                                                                                                                                                                                                                                          </t>
  </si>
  <si>
    <t>Mobile user profile_1</t>
  </si>
  <si>
    <t>Editing customer's details</t>
  </si>
  <si>
    <t>Edit user details and show successfully edited message</t>
  </si>
  <si>
    <t>Display "Profile updated successfully" message</t>
  </si>
  <si>
    <t>Actual Tesat Result</t>
  </si>
  <si>
    <t xml:space="preserve">1.Go to the food ordering application(URL)                                      2.Navigate to the home page                                                         3.Click user profile icon (System already show user existing details)                                                                                     4.Edit user details                                                                       5.Save details                    </t>
  </si>
  <si>
    <t xml:space="preserve">Name- ____________                                                                Phone- 0714526123                                                                           Address-Sewanagala Road, Sooriyawewa                                               City- Sooriyawewa                                                                Email- sara@gmail.com                                                                                          Password-sara123                                         Conform password-sara123         </t>
  </si>
  <si>
    <t xml:space="preserve">Name- Sara                                                        Phone-____________                                                                            Address-Sewanagala Road, Sooriyawewa                                               City- Sooriyawewa                                                                Email- sara@gmail.com                                                                                          Password-sara123                                         Conform password-sara123         </t>
  </si>
  <si>
    <t xml:space="preserve">Name- Sara                                                 Phone- 071452612                                                                           Address-Sewanagala Road, Sooriyawewa                                               City- Sooriyawewa                                                                Email- ____________                                                                                      Password-sara123                                         Conform password-sara123         </t>
  </si>
  <si>
    <t xml:space="preserve">Name- Sara                                                 Phone- 071452612                                                                           Address-  ____________                                                         City- Sooriyawewa                                                                Email- sara@gmail.com                                                                                          Password-sara123                                         Conform password-sara123         </t>
  </si>
  <si>
    <t xml:space="preserve">Name- Nora                                                        Phone- 0714526123                                                                              Address-Lake Road, Sooriyawewa                                               City- Sooriyawewa                                                                Email- nora@gmail.com                                                                                          Password- __________                                               Conform password-nora123         </t>
  </si>
  <si>
    <t xml:space="preserve">Name- Nora                                                        Phone- 0714526123                                                                              Address-Lake Road, Sooriyawewa                                               City- Sooriyawewa                                                                Email- nora@gmail.com                                                                                          Password-nora123                                         Conform password- _______  </t>
  </si>
  <si>
    <t xml:space="preserve">Name- Nora                                                        Phone- 0714526123                                                                              Address-Lake Road, Sooriyawewa                                               City- _________                                                               Email- nora@gmail.com                                                                                          Password-nora123                                         Conform password-nora123         </t>
  </si>
  <si>
    <t>Mobile SignUp_11</t>
  </si>
  <si>
    <t>Verify that the system prevents signing up with weak password.</t>
  </si>
  <si>
    <t>Name- Nora                                                        Phone- 0714526123                                                                              Address-Lake Road, Sooriyawewa                                               City- Sooriyawewa                                                              Email- nora@gmail.com                                                                                          Password-123                                         Conform password-123</t>
  </si>
  <si>
    <t>1.Go to the food ordering application(URL)                                      2.Navigate to the SignUp page                                                         3.Enter a name                                                                                          3.Enter a valid phone number                                                                   4.Enter a valid address                                                                        5.Enter a City                                                                         6.Enter a valid email address                                                                               7.Enter a valid password                                                                   8.Enter a valid password to confirm                                                9.Click on"Register"button</t>
  </si>
  <si>
    <t>1.Go to the food ordering application(URL)                                      2.Navigate to the SignUp page                                                         3.Enter a name                                                                                          3.Enter a valid phone number                                                                   4.Enter a valid address                                                                        5.Enter a City                                                                         6.Enter a already registered email address                                                                               7.Enter a valid password                                                                   8.Enter a valid password to confirm                                                9.Click on"Register"button</t>
  </si>
  <si>
    <t>1.Go to the food ordering application(URL)                                      2.Navigate to the SignUp page                                                         3.Enter a name                                                                                          3.Enter a invalid phone number                                                                   4.Enter a valid address                                                                        5.Enter a City                                                                         6.Enter a valid email address                                                                               7.Enter a valid password                                                                   8.Enter a valid password to confirm                                                9.Click on"Register"button</t>
  </si>
  <si>
    <t>1.Go to the food ordering application(URL)                                      2.Navigate to the SignUp page                                                         3.Empty name column                                                                                         3.Enter a valid phone number                                                                   4.Enter a valid address                                                                        5.Enter a City                                                                         6.Enter a valid email address                                                                               7.Enter a valid password                                                                   8.Enter a valid password to confirm                                                9.Click on"Register"button</t>
  </si>
  <si>
    <t>1.Go to the food ordering application(URL)                                      2.Navigate to the SignUp page                                                         3.Enter a name                                                                                          3.Empty phone number column                                                                   4.Enter a valid address                                                                        5.Enter a City                                                                         6.Enter a valid email address                                                                               7.Enter a valid password                                                                   8.Enter a valid password to confirm                                                9.Click on"Register"button</t>
  </si>
  <si>
    <t>1.Go to the food ordering application(URL)                                      2.Navigate to the SignUp page                                                         3.Enter a name                                                                                          3.Enter a valid phone number                                                                   4.Enter a valid address                                                                        5.Enter a City                                                                         6.Empty email address column                                                                           7.Enter a valid password                                                                   8.Enter a valid password to confirm                                                9.Click on"Register"button</t>
  </si>
  <si>
    <t>1.Go to the food ordering application(URL)                                      2.Navigate to the SignUp page                                                         3.Enter a name                                                                                          3.Enter a valid phone number                                                                   4.Empty address column                                                                    5.Enter a City                                                                         6.Enter a valid email address                                                                               7.Enter a valid password                                                                   8.Enter a valid password to confirm                                                9.Click on"Register"button</t>
  </si>
  <si>
    <t>1.Go to the food ordering application(URL)                                      2.Navigate to the SignUp page                                                         3.Enter a name                                                                                          3.Enter a valid phone number                                                                   4.Enter a valid address                                                                        5.Enter a City                                                                         6.Enter a valid email address                                                                               7.Empty password  column                                                                 8.Enter a valid password to confirm                                                9.Click on"Register"button</t>
  </si>
  <si>
    <t>1.Go to the food ordering application(URL)                                      2.Navigate to the SignUp page                                                         3.Enter a name                                                                                          3.Enter a valid phone number                                                                   4.Enter a valid address                                                                        5.Enter a City                                                                         6.Enter a valid email address                                                                               7.Enter a valid password                                                                   8.Empty confirm password column                                            9.Click on"Register"button</t>
  </si>
  <si>
    <t>1.Go to the food ordering application(URL)                                      2.Navigate to the SignUp page                                                         3.Enter a name                                                                                          3.Enter a valid phone number                                                                   4.Enter a valid address                                                                        5.Empty City  column                                                                      6.Enter a valid email address                                                                               7.Enter a valid password                                                                   8.Enter a valid password to confirm                                                9.Click on"Register"button</t>
  </si>
  <si>
    <t>1.Go to the food ordering application(URL)                                      2.Navigate to the SignUp page                                                         3.Enter a name                                                                                          3.Enter a valid phone number                                                                   4.Enter a valid address                                                                        5.Enter a City                                                                         6.Enter a valid email address                                                                               7.Enter a weak password                                                                   8.Enter that weak password to confirm                                                9.Click on"Register"button</t>
  </si>
  <si>
    <t>Mobile SignUp_12</t>
  </si>
  <si>
    <t>Display "Password do not match" Message</t>
  </si>
  <si>
    <t>Verify that the system prevents signing up with unmatch passwords.</t>
  </si>
  <si>
    <t>Name- Nora                                                        Phone- 0714526123                                                                              Address-Lake Road, Sooriyawewa                                               City- Sooriyawewa                                                              Email- nora@gmail.com                                                                                          Password-nora123                                         Conform password-nora456</t>
  </si>
  <si>
    <t>1.Go to the food ordering application(URL)                                      2.Navigate to the SignUp page                                                         3.Enter a name                                                                                          3.Enter a valid phone number                                                                   4.Enter a valid address                                                                        5.Enter a City                                                                                           6.Enter a valid email address                                                                               7.Enter a password                                                                               8.Enter a another password to confirm                                                            9.Click on"Register"button</t>
  </si>
  <si>
    <t>email-____________                                                        Password-_________</t>
  </si>
  <si>
    <t>email- jds@gmail.com                                                      Password-jd1234</t>
  </si>
  <si>
    <t>Mobile Login_7</t>
  </si>
  <si>
    <t>Mobile Login_8</t>
  </si>
  <si>
    <t>Login with correct email and  empty password column</t>
  </si>
  <si>
    <t>1.Go to the food ordering application(URL)                                      2.Navigate to the Login page                                                                                            3.Enter a registered email address                                                                   4.Empty password  column                                                              5.Click on "Login"button</t>
  </si>
  <si>
    <t>Login with empty email column and password</t>
  </si>
  <si>
    <t>1.Go to the food ordering application(URL)                                      2.Navigate to the Login page                                                                                            3.Empty email column                                                                   4.Enter a unregistered password                                                                        5.Click on "Login"button</t>
  </si>
  <si>
    <t xml:space="preserve">1.Go to the food ordering application(URL)                                      2.Navigate to the home page                                                                   3.Click on"Food Menu" button                                              4. Select item                                                </t>
  </si>
  <si>
    <t>Click "Biriyani" button</t>
  </si>
  <si>
    <t>System should display biriyani items</t>
  </si>
  <si>
    <t>Display Biriyani sawan, Chicken biriyani</t>
  </si>
  <si>
    <t xml:space="preserve">Item-Chicken biriyani                             Quantity-3                                                                                                                                                                                                                                                                                                                                                                                                              </t>
  </si>
  <si>
    <t xml:space="preserve">System should display quantity of Chicken biriyani  </t>
  </si>
  <si>
    <t xml:space="preserve">Item-Chicken biriyani                            Quantity- 1                                                                                                                                                                                                                                                                                                                                                                                                </t>
  </si>
  <si>
    <t xml:space="preserve">1.Go to the food ordering application(URL)                                      2.Navigate to the Menu page                                                         3.Select the food item                                                                                   4.Select the quantity of food item and customize as preference                                                                         5.Click Add to Cart button                                                                              6.Click bin icon to delete icon from cart                          </t>
  </si>
  <si>
    <t>Chicken biriyani display in cart page and also customer can change quantity.</t>
  </si>
  <si>
    <t>item should not display in cart page two times and should increase the quantity</t>
  </si>
  <si>
    <t>item should remove from cart page</t>
  </si>
  <si>
    <t>Chicken biriyani item remove from cart</t>
  </si>
  <si>
    <t>fail</t>
  </si>
  <si>
    <t>Mobile place an order_1</t>
  </si>
  <si>
    <t>Placing an order from cart</t>
  </si>
  <si>
    <t>Order should placed</t>
  </si>
  <si>
    <t>Mobile place an order_2</t>
  </si>
  <si>
    <t>Placing an order from menu</t>
  </si>
  <si>
    <t xml:space="preserve">1.Go to the food ordering application(URL)                                      2.Navigate to the Menu page                                                         3.Select the food item                                                                                   4.Select the quantity of food item                                                               5.Click "Buy Now"                                                                          6.Check details and click "Place Order" button                   </t>
  </si>
  <si>
    <t>After click Buy now button Item display in cart page</t>
  </si>
  <si>
    <t xml:space="preserve">Edit Phone no-0772345673                                                                                                                                                                                                                                                                                                                                                                      </t>
  </si>
  <si>
    <t>Mobile favourite</t>
  </si>
  <si>
    <t>Adding items to favourite</t>
  </si>
  <si>
    <t>Item-Biriyani Sawan (Place order 3 times)</t>
  </si>
  <si>
    <t>Item should display in Favourite</t>
  </si>
  <si>
    <t>Checking order status</t>
  </si>
  <si>
    <t>Should display order status</t>
  </si>
  <si>
    <t>Display Biriyani Sawan in Favourite</t>
  </si>
  <si>
    <t xml:space="preserve">Name- Nora                                                        Phone- 0714526123                                                                              Address-Lake Road, Sooriyawewa                                               City- Sooriyawewa                                                                Email- nora@gmail.com                                                                                          Password-nora1234                                       Conform password-nora1234        </t>
  </si>
  <si>
    <t>Display "Signup failed.Please try again" Message</t>
  </si>
  <si>
    <t xml:space="preserve">Name- Ann                                                           Phone- 0714526123                                                                              Address-Lake Road, Sooriyawewa                                               City- Sooriyawewa                                                                Email- divyangana321@gmail.com                                                                                          Password-nora1239                                       Conform password-nora1239        </t>
  </si>
  <si>
    <t>Display "Phone must be 10 digits" Message</t>
  </si>
  <si>
    <t xml:space="preserve">Name- Sara                                                         Phone- 07145261                                                                          Address-Sewanagala Road, Sooriyawewa                                               City- Sooriyawewa                                                                Email- sara@gmail.com                                                                                          Password-sara123                                         Conform password-sara123         </t>
  </si>
  <si>
    <t>Display "Enter a valid email address" Message</t>
  </si>
  <si>
    <t>Display "Address is required." Message</t>
  </si>
  <si>
    <t>Display "City is required" Message</t>
  </si>
  <si>
    <t>Display"Login failed.Please try again"</t>
  </si>
  <si>
    <t>email- divyangana321@gmail.com                                                      Password-Div11111</t>
  </si>
  <si>
    <t>email- divyangana321@gmail.com                                                      Password-____________</t>
  </si>
  <si>
    <t>email- divyangana321@gmail.com                                                      Password-Div@1234</t>
  </si>
  <si>
    <t>email- div@gmail.com                                                      Password-Div@1234</t>
  </si>
  <si>
    <t>email- _____________                                                     Password-Div@1234</t>
  </si>
  <si>
    <t>Click "How to place an order"</t>
  </si>
  <si>
    <t>System should display how to place an order</t>
  </si>
  <si>
    <t>System  display how to place an order</t>
  </si>
  <si>
    <t>Customizing food items and change customize item quantity</t>
  </si>
  <si>
    <t xml:space="preserve">1.Go to the food ordering application(URL)                                      2.Navigate to the Menu page                                                         3.Select food item                                                                                   3.Customize as preference  and select quantity                             </t>
  </si>
  <si>
    <t>Order placed and can download invoice</t>
  </si>
  <si>
    <t xml:space="preserve">1.Go to the food ordering application(URL)                                      2.Navigate to the cart page                                                          3.Select the item                                                             3.Click "Proceed to Check out" button                                                                       </t>
  </si>
  <si>
    <t xml:space="preserve">1.Go to the food ordering application(URL)                                      2.Navigate to the menu page                                                  3.Order same item more than three times                                                      3.Go to home page and Click  "Favourite" in side bar                 </t>
  </si>
  <si>
    <t>Mobile Order status</t>
  </si>
  <si>
    <t>Order Id-OD177043</t>
  </si>
  <si>
    <t>Display "OD177043 is ready! Hurry to pick it up."</t>
  </si>
  <si>
    <t xml:space="preserve">1.Go to the food ordering application(URL)                                      2.Navigate to order status page                                                                   </t>
  </si>
  <si>
    <t>Mobile Feedback</t>
  </si>
  <si>
    <t>Customer can submit feedback</t>
  </si>
  <si>
    <t xml:space="preserve">1.Go to the food ordering application(URL)                                      2.Navigate to feedback &amp; ratings page                                         3.Enter subject                                                                     4.Type feedback                                                           </t>
  </si>
  <si>
    <t>1.Subject-Noodles                                               2.Feedback-Yummy!</t>
  </si>
  <si>
    <t>Should display the feedback</t>
  </si>
  <si>
    <t>Display the feedback</t>
  </si>
  <si>
    <t>Mobile Ratings</t>
  </si>
  <si>
    <t>Customer can submit ratings</t>
  </si>
  <si>
    <t xml:space="preserve">1.Go to the food ordering application(URL)                                      2.Navigate to feedback &amp; ratings page                                         3.Enter dish name                                                              4.Add rating                                                                                           5.Add comment                                                                              6.Click 'Submit rating; button                                                         </t>
  </si>
  <si>
    <t>1.Dish name-Noodles                                               2.Rating-4.0                                                 3.Comment-Yummy!</t>
  </si>
  <si>
    <t>Should display the Rating</t>
  </si>
  <si>
    <t>Display Ratings</t>
  </si>
  <si>
    <t>Mobile place an order_3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</si>
</sst>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ont>
    <font>
      <b/>
      <sz val="9"/>
      <color theme="1"/>
      <name val="Calibri"/>
      <family val="2"/>
    </font>
    <font>
      <sz val="10"/>
      <name val="Arial"/>
      <family val="2"/>
    </font>
    <font>
      <sz val="8"/>
      <name val="Calibri"/>
      <family val="1"/>
      <scheme val="major"/>
    </font>
    <font>
      <b/>
      <sz val="14"/>
      <color theme="0"/>
      <name val="Calibri"/>
      <family val="1"/>
      <scheme val="major"/>
    </font>
    <font>
      <sz val="10"/>
      <color rgb="FF000000"/>
      <name val="Calibri"/>
      <family val="2"/>
    </font>
    <font>
      <sz val="10"/>
      <color theme="1"/>
      <name val="Calibri"/>
      <family val="2"/>
    </font>
    <font>
      <b/>
      <sz val="8"/>
      <color theme="1"/>
      <name val="Calibri"/>
      <family val="1"/>
      <scheme val="major"/>
    </font>
    <font>
      <b/>
      <sz val="10"/>
      <color theme="1"/>
      <name val="Calibri"/>
      <family val="1"/>
      <scheme val="major"/>
    </font>
    <font>
      <sz val="8"/>
      <name val="Calibri"/>
    </font>
    <font>
      <sz val="10"/>
      <color rgb="FFFFFF00"/>
      <name val="Calibri"/>
      <family val="2"/>
    </font>
  </fonts>
  <fills count="12">
    <fill>
      <patternFill patternType="none"/>
    </fill>
    <fill>
      <patternFill patternType="gray125"/>
    </fill>
    <fill>
      <patternFill patternType="solid">
        <fgColor rgb="FFC5E0B3"/>
        <bgColor rgb="FFC5E0B3"/>
      </patternFill>
    </fill>
    <fill>
      <patternFill patternType="solid">
        <fgColor rgb="FFFFFFFF"/>
        <bgColor rgb="FFFFFFFF"/>
      </patternFill>
    </fill>
    <fill>
      <patternFill patternType="solid">
        <fgColor theme="0"/>
        <bgColor indexed="64"/>
      </patternFill>
    </fill>
    <fill>
      <patternFill patternType="solid">
        <fgColor theme="9" tint="-0.249977111117893"/>
        <bgColor indexed="64"/>
      </patternFill>
    </fill>
    <fill>
      <patternFill patternType="solid">
        <fgColor theme="9" tint="0.39997558519241921"/>
        <bgColor indexed="26"/>
      </patternFill>
    </fill>
    <fill>
      <patternFill patternType="solid">
        <fgColor theme="0"/>
        <bgColor rgb="FFFFE599"/>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FF00"/>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2" fillId="0" borderId="3"/>
  </cellStyleXfs>
  <cellXfs count="52">
    <xf numFmtId="0" fontId="0" fillId="0" borderId="0" xfId="0"/>
    <xf numFmtId="0" fontId="1" fillId="2" borderId="1" xfId="0" applyFont="1" applyFill="1" applyBorder="1" applyAlignment="1">
      <alignment horizontal="left" vertical="top" wrapText="1"/>
    </xf>
    <xf numFmtId="0" fontId="0" fillId="4" borderId="0" xfId="0" applyFill="1"/>
    <xf numFmtId="0" fontId="5" fillId="3" borderId="1"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7" borderId="4" xfId="0" applyFont="1" applyFill="1" applyBorder="1" applyAlignment="1">
      <alignment horizontal="left" vertical="top" wrapText="1"/>
    </xf>
    <xf numFmtId="0" fontId="6" fillId="0" borderId="4" xfId="0" applyFont="1" applyBorder="1" applyAlignment="1">
      <alignment horizontal="left" vertical="top" wrapText="1"/>
    </xf>
    <xf numFmtId="0" fontId="3" fillId="0" borderId="4" xfId="1" applyFont="1" applyBorder="1"/>
    <xf numFmtId="0" fontId="3" fillId="0" borderId="8" xfId="1" applyFont="1" applyBorder="1"/>
    <xf numFmtId="0" fontId="8" fillId="6" borderId="4" xfId="1" applyFont="1" applyFill="1" applyBorder="1"/>
    <xf numFmtId="0" fontId="7" fillId="8" borderId="4" xfId="1" applyFont="1" applyFill="1" applyBorder="1"/>
    <xf numFmtId="9" fontId="3" fillId="0" borderId="4" xfId="1" applyNumberFormat="1" applyFont="1" applyBorder="1"/>
    <xf numFmtId="0" fontId="6" fillId="4" borderId="4" xfId="0" applyFont="1" applyFill="1" applyBorder="1"/>
    <xf numFmtId="0" fontId="5" fillId="3" borderId="9" xfId="0" applyFont="1" applyFill="1" applyBorder="1" applyAlignment="1">
      <alignment horizontal="left" vertical="top" wrapText="1"/>
    </xf>
    <xf numFmtId="0" fontId="5" fillId="7" borderId="10"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5" fillId="7" borderId="13" xfId="0" applyFont="1" applyFill="1" applyBorder="1" applyAlignment="1">
      <alignment horizontal="left" vertical="top" wrapText="1"/>
    </xf>
    <xf numFmtId="0" fontId="6" fillId="4" borderId="11" xfId="0" applyFont="1" applyFill="1" applyBorder="1"/>
    <xf numFmtId="0" fontId="5" fillId="3" borderId="4" xfId="0" applyFont="1" applyFill="1" applyBorder="1" applyAlignment="1">
      <alignment horizontal="left" vertical="center" wrapText="1"/>
    </xf>
    <xf numFmtId="0" fontId="5" fillId="3" borderId="5" xfId="0" applyFont="1" applyFill="1" applyBorder="1" applyAlignment="1">
      <alignment horizontal="left" vertical="top" wrapText="1"/>
    </xf>
    <xf numFmtId="0" fontId="5" fillId="3" borderId="10" xfId="0" applyFont="1" applyFill="1" applyBorder="1" applyAlignment="1">
      <alignment horizontal="left" vertical="top" wrapText="1"/>
    </xf>
    <xf numFmtId="0" fontId="5" fillId="3" borderId="14" xfId="0" applyFont="1" applyFill="1" applyBorder="1" applyAlignment="1">
      <alignment horizontal="left" vertical="top" wrapText="1"/>
    </xf>
    <xf numFmtId="0" fontId="5" fillId="3" borderId="11" xfId="0" applyFont="1" applyFill="1" applyBorder="1" applyAlignment="1">
      <alignment horizontal="left" vertical="top" wrapText="1"/>
    </xf>
    <xf numFmtId="0" fontId="5" fillId="3" borderId="13" xfId="0" applyFont="1" applyFill="1" applyBorder="1" applyAlignment="1">
      <alignment horizontal="left" vertical="top" wrapText="1"/>
    </xf>
    <xf numFmtId="0" fontId="5" fillId="7" borderId="11" xfId="0" applyFont="1" applyFill="1" applyBorder="1" applyAlignment="1">
      <alignment horizontal="left" vertical="top" wrapText="1"/>
    </xf>
    <xf numFmtId="0" fontId="5" fillId="3" borderId="12" xfId="0" applyFont="1" applyFill="1" applyBorder="1" applyAlignment="1">
      <alignment horizontal="left" vertical="top" wrapText="1"/>
    </xf>
    <xf numFmtId="0" fontId="0" fillId="4" borderId="4" xfId="0" applyFill="1" applyBorder="1"/>
    <xf numFmtId="0" fontId="6" fillId="0" borderId="10" xfId="0" applyFont="1" applyBorder="1" applyAlignment="1">
      <alignment horizontal="left" vertical="top" wrapText="1"/>
    </xf>
    <xf numFmtId="0" fontId="0" fillId="4" borderId="14" xfId="0" applyFill="1" applyBorder="1"/>
    <xf numFmtId="0" fontId="6" fillId="4" borderId="10" xfId="0" applyFont="1" applyFill="1" applyBorder="1"/>
    <xf numFmtId="0" fontId="6" fillId="0" borderId="13" xfId="0" applyFont="1" applyBorder="1" applyAlignment="1">
      <alignment horizontal="left" vertical="top" wrapText="1"/>
    </xf>
    <xf numFmtId="0" fontId="0" fillId="4" borderId="12" xfId="0" applyFill="1" applyBorder="1"/>
    <xf numFmtId="0" fontId="5" fillId="3" borderId="15" xfId="0" applyFont="1" applyFill="1" applyBorder="1" applyAlignment="1">
      <alignment horizontal="left" vertical="top" wrapText="1"/>
    </xf>
    <xf numFmtId="0" fontId="5" fillId="3" borderId="16"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9" borderId="4" xfId="0" applyFont="1" applyFill="1" applyBorder="1"/>
    <xf numFmtId="0" fontId="0" fillId="10" borderId="5" xfId="0" applyFill="1" applyBorder="1"/>
    <xf numFmtId="0" fontId="0" fillId="10" borderId="4" xfId="0" applyFill="1" applyBorder="1"/>
    <xf numFmtId="0" fontId="0" fillId="4" borderId="10" xfId="0" applyFill="1" applyBorder="1"/>
    <xf numFmtId="0" fontId="6" fillId="4" borderId="13" xfId="0" applyFont="1" applyFill="1" applyBorder="1"/>
    <xf numFmtId="0" fontId="5" fillId="11" borderId="17" xfId="0" applyFont="1" applyFill="1" applyBorder="1" applyAlignment="1">
      <alignment horizontal="left" vertical="top" wrapText="1"/>
    </xf>
    <xf numFmtId="0" fontId="5" fillId="11" borderId="18" xfId="0" applyFont="1" applyFill="1" applyBorder="1" applyAlignment="1">
      <alignment horizontal="left" vertical="top" wrapText="1"/>
    </xf>
    <xf numFmtId="0" fontId="5" fillId="11" borderId="19" xfId="0" applyFont="1" applyFill="1" applyBorder="1" applyAlignment="1">
      <alignment horizontal="left" vertical="top" wrapText="1"/>
    </xf>
    <xf numFmtId="0" fontId="5" fillId="3" borderId="20" xfId="0" applyFont="1" applyFill="1" applyBorder="1" applyAlignment="1">
      <alignment horizontal="left" vertical="top" wrapText="1"/>
    </xf>
    <xf numFmtId="0" fontId="0" fillId="0" borderId="4" xfId="0" applyBorder="1"/>
    <xf numFmtId="0" fontId="10" fillId="11" borderId="4" xfId="0" applyFont="1" applyFill="1" applyBorder="1" applyAlignment="1">
      <alignment horizontal="left" vertical="top" wrapText="1"/>
    </xf>
    <xf numFmtId="0" fontId="5" fillId="11" borderId="4" xfId="0" applyFont="1" applyFill="1" applyBorder="1" applyAlignment="1">
      <alignment horizontal="left" vertical="top" wrapText="1"/>
    </xf>
    <xf numFmtId="0" fontId="4" fillId="5" borderId="5" xfId="1" applyFont="1" applyFill="1" applyBorder="1" applyAlignment="1">
      <alignment horizontal="left" vertical="center" wrapText="1"/>
    </xf>
    <xf numFmtId="0" fontId="4" fillId="5" borderId="6" xfId="1" applyFont="1" applyFill="1" applyBorder="1" applyAlignment="1">
      <alignment horizontal="left" vertical="center" wrapText="1"/>
    </xf>
    <xf numFmtId="0" fontId="4" fillId="5" borderId="7" xfId="1" applyFont="1" applyFill="1" applyBorder="1" applyAlignment="1">
      <alignment horizontal="left" vertical="center" wrapText="1"/>
    </xf>
  </cellXfs>
  <cellStyles count="2">
    <cellStyle name="Excel Built-in Normal"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V522"/>
  <sheetViews>
    <sheetView tabSelected="1" topLeftCell="A18" zoomScale="90" zoomScaleNormal="100" workbookViewId="0">
      <selection activeCell="E62" sqref="E62"/>
    </sheetView>
  </sheetViews>
  <sheetFormatPr defaultRowHeight="14.4" x14ac:dyDescent="0.3"/>
  <cols>
    <col min="1" max="1" width="14.6640625" style="2" customWidth="1"/>
    <col min="2" max="2" width="17.5546875" customWidth="1"/>
    <col min="3" max="3" width="22.5546875" customWidth="1"/>
    <col min="4" max="4" width="40.6640625" customWidth="1"/>
    <col min="5" max="5" width="27" customWidth="1"/>
    <col min="6" max="6" width="35.33203125" customWidth="1"/>
    <col min="7" max="7" width="10.44140625" customWidth="1"/>
    <col min="8" max="8" width="21.109375" customWidth="1"/>
    <col min="10" max="68" width="8.88671875" style="2"/>
  </cols>
  <sheetData>
    <row r="1" spans="2:100" s="2" customFormat="1" x14ac:dyDescent="0.3"/>
    <row r="2" spans="2:100" ht="18" customHeight="1" x14ac:dyDescent="0.3">
      <c r="B2" s="49" t="s">
        <v>3</v>
      </c>
      <c r="C2" s="50"/>
      <c r="D2" s="51"/>
      <c r="E2" s="2"/>
      <c r="F2" s="2"/>
      <c r="G2" s="2"/>
      <c r="H2" s="2"/>
      <c r="I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row>
    <row r="3" spans="2:100" x14ac:dyDescent="0.3">
      <c r="B3" s="9" t="s">
        <v>4</v>
      </c>
      <c r="C3" s="9" t="s">
        <v>5</v>
      </c>
      <c r="D3" s="9" t="s">
        <v>6</v>
      </c>
      <c r="E3" s="2"/>
      <c r="F3" s="2"/>
      <c r="G3" s="2"/>
      <c r="H3" s="2"/>
      <c r="I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row>
    <row r="4" spans="2:100" x14ac:dyDescent="0.3">
      <c r="B4" s="10" t="s">
        <v>0</v>
      </c>
      <c r="C4" s="7">
        <f>COUNTIF(G12:G44, "Pass")</f>
        <v>27</v>
      </c>
      <c r="D4" s="11" t="e">
        <f>(C4/C9)</f>
        <v>#REF!</v>
      </c>
      <c r="E4" s="2"/>
      <c r="F4" s="2"/>
      <c r="G4" s="2"/>
      <c r="H4" s="2"/>
      <c r="I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row>
    <row r="5" spans="2:100" x14ac:dyDescent="0.3">
      <c r="B5" s="10" t="s">
        <v>1</v>
      </c>
      <c r="C5" s="7">
        <f>COUNTIF(G12:G44, "Fail")</f>
        <v>0</v>
      </c>
      <c r="D5" s="11" t="e">
        <f>(C5/C9)</f>
        <v>#REF!</v>
      </c>
      <c r="E5" s="2"/>
      <c r="F5" s="2"/>
      <c r="G5" s="2"/>
      <c r="H5" s="2"/>
      <c r="I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row>
    <row r="6" spans="2:100" x14ac:dyDescent="0.3">
      <c r="B6" s="10" t="s">
        <v>2</v>
      </c>
      <c r="C6" s="7">
        <f>COUNTIF(G12:G44, "On hold")</f>
        <v>0</v>
      </c>
      <c r="D6" s="11" t="e">
        <f>(C6/C9)</f>
        <v>#REF!</v>
      </c>
      <c r="E6" s="2"/>
      <c r="F6" s="2"/>
      <c r="G6" s="2"/>
      <c r="H6" s="2"/>
      <c r="I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row>
    <row r="7" spans="2:100" x14ac:dyDescent="0.3">
      <c r="B7" s="10" t="s">
        <v>7</v>
      </c>
      <c r="C7" s="7">
        <f>COUNTIF(G12:G44, "Not Executed")</f>
        <v>0</v>
      </c>
      <c r="D7" s="11" t="e">
        <f>(C7/C9)</f>
        <v>#REF!</v>
      </c>
      <c r="E7" s="2"/>
      <c r="F7" s="2"/>
      <c r="G7" s="2"/>
      <c r="H7" s="2"/>
      <c r="I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row>
    <row r="8" spans="2:100" x14ac:dyDescent="0.3">
      <c r="B8" s="10" t="s">
        <v>8</v>
      </c>
      <c r="C8" s="7">
        <f>SUM(C4:C7)</f>
        <v>27</v>
      </c>
      <c r="D8" s="11" t="e">
        <f>(C8/C9)</f>
        <v>#REF!</v>
      </c>
      <c r="E8" s="2"/>
      <c r="F8" s="2"/>
      <c r="G8" s="2"/>
      <c r="H8" s="2"/>
      <c r="I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row>
    <row r="9" spans="2:100" ht="15" thickBot="1" x14ac:dyDescent="0.35">
      <c r="B9" s="10" t="s">
        <v>9</v>
      </c>
      <c r="C9" s="8" t="e">
        <f>COUNTIF(#REF!, "1")</f>
        <v>#REF!</v>
      </c>
      <c r="D9" s="8"/>
    </row>
    <row r="10" spans="2:100" s="2" customFormat="1" x14ac:dyDescent="0.3"/>
    <row r="11" spans="2:100" ht="27.6" customHeight="1" x14ac:dyDescent="0.3">
      <c r="B11" s="1" t="s">
        <v>10</v>
      </c>
      <c r="C11" s="1" t="s">
        <v>11</v>
      </c>
      <c r="D11" s="1" t="s">
        <v>12</v>
      </c>
      <c r="E11" s="1" t="s">
        <v>13</v>
      </c>
      <c r="F11" s="1" t="s">
        <v>14</v>
      </c>
      <c r="G11" s="1" t="s">
        <v>4</v>
      </c>
      <c r="H11" s="1" t="s">
        <v>112</v>
      </c>
      <c r="I11" s="36" t="s">
        <v>15</v>
      </c>
      <c r="J11" s="37" t="s">
        <v>16</v>
      </c>
    </row>
    <row r="12" spans="2:100" ht="144" customHeight="1" x14ac:dyDescent="0.3">
      <c r="B12" s="4" t="s">
        <v>18</v>
      </c>
      <c r="C12" s="6" t="s">
        <v>19</v>
      </c>
      <c r="D12" s="6" t="s">
        <v>124</v>
      </c>
      <c r="E12" s="6" t="s">
        <v>176</v>
      </c>
      <c r="F12" s="6" t="s">
        <v>20</v>
      </c>
      <c r="G12" s="5" t="s">
        <v>0</v>
      </c>
      <c r="H12" s="6" t="s">
        <v>21</v>
      </c>
      <c r="I12" s="6"/>
      <c r="J12" s="12" t="s">
        <v>22</v>
      </c>
    </row>
    <row r="13" spans="2:100" ht="143.4" customHeight="1" x14ac:dyDescent="0.3">
      <c r="B13" s="13" t="s">
        <v>23</v>
      </c>
      <c r="C13" s="6" t="s">
        <v>24</v>
      </c>
      <c r="D13" s="6" t="s">
        <v>125</v>
      </c>
      <c r="E13" s="6" t="s">
        <v>178</v>
      </c>
      <c r="F13" s="6" t="s">
        <v>17</v>
      </c>
      <c r="G13" s="14" t="s">
        <v>0</v>
      </c>
      <c r="H13" s="6" t="s">
        <v>177</v>
      </c>
      <c r="I13" s="15"/>
      <c r="J13" s="12" t="s">
        <v>22</v>
      </c>
    </row>
    <row r="14" spans="2:100" ht="146.4" customHeight="1" x14ac:dyDescent="0.3">
      <c r="B14" s="3" t="s">
        <v>25</v>
      </c>
      <c r="C14" s="6" t="s">
        <v>26</v>
      </c>
      <c r="D14" s="6" t="s">
        <v>126</v>
      </c>
      <c r="E14" s="6" t="s">
        <v>180</v>
      </c>
      <c r="F14" s="6" t="s">
        <v>17</v>
      </c>
      <c r="G14" s="14" t="s">
        <v>0</v>
      </c>
      <c r="H14" s="6" t="s">
        <v>179</v>
      </c>
      <c r="I14" s="15"/>
      <c r="J14" s="12" t="s">
        <v>22</v>
      </c>
    </row>
    <row r="15" spans="2:100" ht="141.6" customHeight="1" x14ac:dyDescent="0.3">
      <c r="B15" s="3" t="s">
        <v>27</v>
      </c>
      <c r="C15" s="6" t="s">
        <v>28</v>
      </c>
      <c r="D15" s="6" t="s">
        <v>127</v>
      </c>
      <c r="E15" s="6" t="s">
        <v>114</v>
      </c>
      <c r="F15" s="6" t="s">
        <v>17</v>
      </c>
      <c r="G15" s="14" t="s">
        <v>0</v>
      </c>
      <c r="H15" s="6" t="s">
        <v>29</v>
      </c>
      <c r="I15" s="15"/>
      <c r="J15" s="12" t="s">
        <v>22</v>
      </c>
    </row>
    <row r="16" spans="2:100" ht="138" x14ac:dyDescent="0.3">
      <c r="B16" s="3" t="s">
        <v>30</v>
      </c>
      <c r="C16" s="6" t="s">
        <v>31</v>
      </c>
      <c r="D16" s="6" t="s">
        <v>128</v>
      </c>
      <c r="E16" s="6" t="s">
        <v>115</v>
      </c>
      <c r="F16" s="6" t="s">
        <v>17</v>
      </c>
      <c r="G16" s="14" t="s">
        <v>0</v>
      </c>
      <c r="H16" s="6" t="s">
        <v>32</v>
      </c>
      <c r="I16" s="15"/>
      <c r="J16" s="12" t="s">
        <v>22</v>
      </c>
    </row>
    <row r="17" spans="2:10" ht="138" x14ac:dyDescent="0.3">
      <c r="B17" s="3" t="s">
        <v>33</v>
      </c>
      <c r="C17" s="6" t="s">
        <v>34</v>
      </c>
      <c r="D17" s="6" t="s">
        <v>129</v>
      </c>
      <c r="E17" s="6" t="s">
        <v>116</v>
      </c>
      <c r="F17" s="6" t="s">
        <v>17</v>
      </c>
      <c r="G17" s="14" t="s">
        <v>0</v>
      </c>
      <c r="H17" s="6" t="s">
        <v>181</v>
      </c>
      <c r="I17" s="15"/>
      <c r="J17" s="12" t="s">
        <v>22</v>
      </c>
    </row>
    <row r="18" spans="2:10" ht="138" x14ac:dyDescent="0.3">
      <c r="B18" s="3" t="s">
        <v>35</v>
      </c>
      <c r="C18" s="6" t="s">
        <v>36</v>
      </c>
      <c r="D18" s="6" t="s">
        <v>130</v>
      </c>
      <c r="E18" s="6" t="s">
        <v>117</v>
      </c>
      <c r="F18" s="6" t="s">
        <v>17</v>
      </c>
      <c r="G18" s="14" t="s">
        <v>0</v>
      </c>
      <c r="H18" s="6" t="s">
        <v>182</v>
      </c>
      <c r="I18" s="15"/>
      <c r="J18" s="12" t="s">
        <v>22</v>
      </c>
    </row>
    <row r="19" spans="2:10" ht="138" x14ac:dyDescent="0.3">
      <c r="B19" s="3" t="s">
        <v>37</v>
      </c>
      <c r="C19" s="6" t="s">
        <v>38</v>
      </c>
      <c r="D19" s="6" t="s">
        <v>131</v>
      </c>
      <c r="E19" s="6" t="s">
        <v>118</v>
      </c>
      <c r="F19" s="6" t="s">
        <v>17</v>
      </c>
      <c r="G19" s="14" t="s">
        <v>0</v>
      </c>
      <c r="H19" s="6" t="s">
        <v>39</v>
      </c>
      <c r="I19" s="15"/>
      <c r="J19" s="12" t="s">
        <v>22</v>
      </c>
    </row>
    <row r="20" spans="2:10" ht="140.4" customHeight="1" x14ac:dyDescent="0.3">
      <c r="B20" s="3" t="s">
        <v>40</v>
      </c>
      <c r="C20" s="16" t="s">
        <v>41</v>
      </c>
      <c r="D20" s="6" t="s">
        <v>132</v>
      </c>
      <c r="E20" s="6" t="s">
        <v>119</v>
      </c>
      <c r="F20" s="16" t="s">
        <v>17</v>
      </c>
      <c r="G20" s="14" t="s">
        <v>0</v>
      </c>
      <c r="H20" s="16" t="s">
        <v>136</v>
      </c>
      <c r="I20" s="17" t="s">
        <v>42</v>
      </c>
      <c r="J20" s="12" t="s">
        <v>22</v>
      </c>
    </row>
    <row r="21" spans="2:10" ht="144.6" customHeight="1" x14ac:dyDescent="0.3">
      <c r="B21" s="45" t="s">
        <v>43</v>
      </c>
      <c r="C21" s="16" t="s">
        <v>44</v>
      </c>
      <c r="D21" s="6" t="s">
        <v>133</v>
      </c>
      <c r="E21" s="16" t="s">
        <v>120</v>
      </c>
      <c r="F21" s="16" t="s">
        <v>17</v>
      </c>
      <c r="G21" s="18" t="s">
        <v>0</v>
      </c>
      <c r="H21" s="16" t="s">
        <v>183</v>
      </c>
      <c r="I21" s="17"/>
      <c r="J21" s="19" t="s">
        <v>22</v>
      </c>
    </row>
    <row r="22" spans="2:10" ht="141.6" customHeight="1" x14ac:dyDescent="0.3">
      <c r="B22" s="45" t="s">
        <v>121</v>
      </c>
      <c r="C22" s="16" t="s">
        <v>122</v>
      </c>
      <c r="D22" s="6" t="s">
        <v>134</v>
      </c>
      <c r="E22" s="16" t="s">
        <v>123</v>
      </c>
      <c r="F22" s="16" t="s">
        <v>17</v>
      </c>
      <c r="G22" s="5" t="s">
        <v>0</v>
      </c>
      <c r="H22" s="6" t="s">
        <v>39</v>
      </c>
      <c r="I22" s="17"/>
      <c r="J22" s="19" t="s">
        <v>22</v>
      </c>
    </row>
    <row r="23" spans="2:10" ht="147.6" customHeight="1" x14ac:dyDescent="0.3">
      <c r="B23" s="45" t="s">
        <v>135</v>
      </c>
      <c r="C23" s="16" t="s">
        <v>137</v>
      </c>
      <c r="D23" s="6" t="s">
        <v>139</v>
      </c>
      <c r="E23" s="16" t="s">
        <v>138</v>
      </c>
      <c r="F23" s="16" t="s">
        <v>17</v>
      </c>
      <c r="G23" s="5" t="s">
        <v>0</v>
      </c>
      <c r="H23" s="16" t="s">
        <v>136</v>
      </c>
      <c r="I23" s="17"/>
      <c r="J23" s="19" t="s">
        <v>22</v>
      </c>
    </row>
    <row r="24" spans="2:10" x14ac:dyDescent="0.3">
      <c r="B24" s="38"/>
      <c r="C24" s="38"/>
      <c r="D24" s="38"/>
      <c r="E24" s="38"/>
      <c r="F24" s="38"/>
      <c r="G24" s="38"/>
      <c r="H24" s="38"/>
      <c r="I24" s="38"/>
      <c r="J24" s="39"/>
    </row>
    <row r="25" spans="2:10" ht="55.2" x14ac:dyDescent="0.3">
      <c r="B25" s="4" t="s">
        <v>45</v>
      </c>
      <c r="C25" s="4" t="s">
        <v>46</v>
      </c>
      <c r="D25" s="20" t="s">
        <v>47</v>
      </c>
      <c r="E25" s="4" t="s">
        <v>140</v>
      </c>
      <c r="F25" s="4" t="s">
        <v>17</v>
      </c>
      <c r="G25" s="5" t="s">
        <v>0</v>
      </c>
      <c r="H25" s="4" t="s">
        <v>184</v>
      </c>
      <c r="I25" s="21"/>
      <c r="J25" s="12" t="s">
        <v>22</v>
      </c>
    </row>
    <row r="26" spans="2:10" ht="69" x14ac:dyDescent="0.3">
      <c r="B26" s="4" t="s">
        <v>48</v>
      </c>
      <c r="C26" s="4" t="s">
        <v>49</v>
      </c>
      <c r="D26" s="4" t="s">
        <v>50</v>
      </c>
      <c r="E26" s="4" t="s">
        <v>187</v>
      </c>
      <c r="F26" s="4" t="s">
        <v>20</v>
      </c>
      <c r="G26" s="5" t="s">
        <v>0</v>
      </c>
      <c r="H26" s="4" t="s">
        <v>51</v>
      </c>
      <c r="I26" s="21"/>
      <c r="J26" s="12" t="s">
        <v>22</v>
      </c>
    </row>
    <row r="27" spans="2:10" ht="69" x14ac:dyDescent="0.3">
      <c r="B27" s="4" t="s">
        <v>52</v>
      </c>
      <c r="C27" s="22" t="s">
        <v>53</v>
      </c>
      <c r="D27" s="22" t="s">
        <v>54</v>
      </c>
      <c r="E27" s="4" t="s">
        <v>185</v>
      </c>
      <c r="F27" s="22" t="s">
        <v>55</v>
      </c>
      <c r="G27" s="14" t="s">
        <v>0</v>
      </c>
      <c r="H27" s="4" t="s">
        <v>184</v>
      </c>
      <c r="I27" s="23"/>
      <c r="J27" s="12" t="s">
        <v>22</v>
      </c>
    </row>
    <row r="28" spans="2:10" s="2" customFormat="1" ht="69" x14ac:dyDescent="0.3">
      <c r="B28" s="4" t="s">
        <v>56</v>
      </c>
      <c r="C28" s="4" t="s">
        <v>57</v>
      </c>
      <c r="D28" s="4" t="s">
        <v>58</v>
      </c>
      <c r="E28" s="4" t="s">
        <v>188</v>
      </c>
      <c r="F28" s="22" t="s">
        <v>55</v>
      </c>
      <c r="G28" s="5" t="s">
        <v>0</v>
      </c>
      <c r="H28" s="4" t="s">
        <v>184</v>
      </c>
      <c r="I28" s="21"/>
      <c r="J28" s="12" t="s">
        <v>22</v>
      </c>
    </row>
    <row r="29" spans="2:10" s="2" customFormat="1" ht="69" x14ac:dyDescent="0.3">
      <c r="B29" s="4" t="s">
        <v>59</v>
      </c>
      <c r="C29" s="24" t="s">
        <v>60</v>
      </c>
      <c r="D29" s="24" t="s">
        <v>61</v>
      </c>
      <c r="E29" s="4" t="s">
        <v>141</v>
      </c>
      <c r="F29" s="25" t="s">
        <v>55</v>
      </c>
      <c r="G29" s="26" t="s">
        <v>0</v>
      </c>
      <c r="H29" s="4" t="s">
        <v>184</v>
      </c>
      <c r="I29" s="27"/>
      <c r="J29" s="19" t="s">
        <v>22</v>
      </c>
    </row>
    <row r="30" spans="2:10" s="2" customFormat="1" ht="69" x14ac:dyDescent="0.3">
      <c r="B30" s="4" t="s">
        <v>62</v>
      </c>
      <c r="C30" s="6" t="s">
        <v>63</v>
      </c>
      <c r="D30" s="24" t="s">
        <v>64</v>
      </c>
      <c r="E30" s="4" t="s">
        <v>65</v>
      </c>
      <c r="F30" s="4" t="s">
        <v>55</v>
      </c>
      <c r="G30" s="26" t="s">
        <v>0</v>
      </c>
      <c r="H30" s="4" t="s">
        <v>184</v>
      </c>
      <c r="I30" s="28"/>
      <c r="J30" s="19" t="s">
        <v>22</v>
      </c>
    </row>
    <row r="31" spans="2:10" s="2" customFormat="1" ht="69" x14ac:dyDescent="0.3">
      <c r="B31" s="4" t="s">
        <v>142</v>
      </c>
      <c r="C31" s="6" t="s">
        <v>144</v>
      </c>
      <c r="D31" s="24" t="s">
        <v>145</v>
      </c>
      <c r="E31" s="4" t="s">
        <v>186</v>
      </c>
      <c r="F31" s="4" t="s">
        <v>55</v>
      </c>
      <c r="G31" s="26" t="s">
        <v>0</v>
      </c>
      <c r="H31" s="4" t="s">
        <v>184</v>
      </c>
      <c r="I31" s="28"/>
      <c r="J31" s="19" t="s">
        <v>22</v>
      </c>
    </row>
    <row r="32" spans="2:10" s="2" customFormat="1" ht="70.8" customHeight="1" x14ac:dyDescent="0.3">
      <c r="B32" s="4" t="s">
        <v>143</v>
      </c>
      <c r="C32" s="6" t="s">
        <v>146</v>
      </c>
      <c r="D32" s="24" t="s">
        <v>147</v>
      </c>
      <c r="E32" s="4" t="s">
        <v>189</v>
      </c>
      <c r="F32" s="4" t="s">
        <v>55</v>
      </c>
      <c r="G32" s="26" t="s">
        <v>0</v>
      </c>
      <c r="H32" s="4" t="s">
        <v>184</v>
      </c>
      <c r="I32" s="28"/>
      <c r="J32" s="19" t="s">
        <v>22</v>
      </c>
    </row>
    <row r="33" spans="2:10" s="2" customFormat="1" x14ac:dyDescent="0.3">
      <c r="B33" s="39"/>
      <c r="C33" s="39"/>
      <c r="D33" s="39"/>
      <c r="E33" s="39"/>
      <c r="F33" s="39"/>
      <c r="G33" s="39"/>
      <c r="H33" s="39"/>
      <c r="I33" s="39"/>
      <c r="J33" s="39"/>
    </row>
    <row r="34" spans="2:10" s="2" customFormat="1" ht="55.2" x14ac:dyDescent="0.3">
      <c r="B34" s="13" t="s">
        <v>66</v>
      </c>
      <c r="C34" s="29" t="s">
        <v>67</v>
      </c>
      <c r="D34" s="16" t="s">
        <v>68</v>
      </c>
      <c r="E34" s="16" t="s">
        <v>69</v>
      </c>
      <c r="F34" s="16" t="s">
        <v>70</v>
      </c>
      <c r="G34" s="18" t="s">
        <v>0</v>
      </c>
      <c r="H34" s="16" t="s">
        <v>71</v>
      </c>
      <c r="I34" s="30"/>
      <c r="J34" s="31" t="s">
        <v>22</v>
      </c>
    </row>
    <row r="35" spans="2:10" s="2" customFormat="1" ht="55.2" x14ac:dyDescent="0.3">
      <c r="B35" s="13" t="s">
        <v>72</v>
      </c>
      <c r="C35" s="32" t="s">
        <v>73</v>
      </c>
      <c r="D35" s="16" t="s">
        <v>74</v>
      </c>
      <c r="E35" s="16" t="s">
        <v>75</v>
      </c>
      <c r="F35" s="16" t="s">
        <v>76</v>
      </c>
      <c r="G35" s="26" t="s">
        <v>0</v>
      </c>
      <c r="H35" s="16" t="s">
        <v>77</v>
      </c>
      <c r="I35" s="33"/>
      <c r="J35" s="19" t="s">
        <v>22</v>
      </c>
    </row>
    <row r="36" spans="2:10" s="2" customFormat="1" x14ac:dyDescent="0.3">
      <c r="B36" s="39"/>
      <c r="C36" s="39"/>
      <c r="D36" s="39"/>
      <c r="E36" s="39"/>
      <c r="F36" s="39"/>
      <c r="G36" s="39"/>
      <c r="H36" s="39"/>
      <c r="I36" s="39"/>
      <c r="J36" s="39"/>
    </row>
    <row r="37" spans="2:10" s="2" customFormat="1" ht="41.4" x14ac:dyDescent="0.3">
      <c r="B37" s="13" t="s">
        <v>78</v>
      </c>
      <c r="C37" s="32" t="s">
        <v>79</v>
      </c>
      <c r="D37" s="16" t="s">
        <v>80</v>
      </c>
      <c r="E37" s="16" t="s">
        <v>190</v>
      </c>
      <c r="F37" s="16" t="s">
        <v>191</v>
      </c>
      <c r="G37" s="26" t="s">
        <v>0</v>
      </c>
      <c r="H37" s="16" t="s">
        <v>192</v>
      </c>
      <c r="I37" s="28"/>
      <c r="J37" s="19" t="s">
        <v>22</v>
      </c>
    </row>
    <row r="38" spans="2:10" s="2" customFormat="1" x14ac:dyDescent="0.3">
      <c r="B38" s="42"/>
      <c r="C38" s="43"/>
      <c r="D38" s="43"/>
      <c r="E38" s="43"/>
      <c r="F38" s="43"/>
      <c r="G38" s="43"/>
      <c r="H38" s="43"/>
      <c r="I38" s="43"/>
      <c r="J38" s="44"/>
    </row>
    <row r="39" spans="2:10" s="2" customFormat="1" ht="55.2" x14ac:dyDescent="0.3">
      <c r="B39" s="13" t="s">
        <v>81</v>
      </c>
      <c r="C39" s="32" t="s">
        <v>82</v>
      </c>
      <c r="D39" s="16" t="s">
        <v>148</v>
      </c>
      <c r="E39" s="32" t="s">
        <v>149</v>
      </c>
      <c r="F39" s="32" t="s">
        <v>150</v>
      </c>
      <c r="G39" s="18" t="s">
        <v>0</v>
      </c>
      <c r="H39" s="32" t="s">
        <v>151</v>
      </c>
      <c r="I39" s="40"/>
      <c r="J39" s="41" t="s">
        <v>22</v>
      </c>
    </row>
    <row r="40" spans="2:10" s="2" customFormat="1" x14ac:dyDescent="0.3">
      <c r="B40" s="39"/>
      <c r="C40" s="39"/>
      <c r="D40" s="39"/>
      <c r="E40" s="39"/>
      <c r="F40" s="39"/>
      <c r="G40" s="39"/>
      <c r="H40" s="39"/>
      <c r="I40" s="39"/>
      <c r="J40" s="39"/>
    </row>
    <row r="41" spans="2:10" s="2" customFormat="1" ht="57.6" customHeight="1" x14ac:dyDescent="0.3">
      <c r="B41" s="13" t="s">
        <v>83</v>
      </c>
      <c r="C41" s="32" t="s">
        <v>84</v>
      </c>
      <c r="D41" s="16" t="s">
        <v>85</v>
      </c>
      <c r="E41" s="16" t="s">
        <v>152</v>
      </c>
      <c r="F41" s="16" t="s">
        <v>153</v>
      </c>
      <c r="G41" s="26" t="s">
        <v>0</v>
      </c>
      <c r="H41" s="16" t="s">
        <v>87</v>
      </c>
      <c r="I41" s="28"/>
      <c r="J41" s="19" t="s">
        <v>22</v>
      </c>
    </row>
    <row r="42" spans="2:10" s="2" customFormat="1" ht="69" x14ac:dyDescent="0.3">
      <c r="B42" s="35" t="s">
        <v>88</v>
      </c>
      <c r="C42" s="6" t="s">
        <v>89</v>
      </c>
      <c r="D42" s="16" t="s">
        <v>90</v>
      </c>
      <c r="E42" s="16" t="s">
        <v>154</v>
      </c>
      <c r="F42" s="16" t="s">
        <v>86</v>
      </c>
      <c r="G42" s="26" t="s">
        <v>0</v>
      </c>
      <c r="H42" s="16" t="s">
        <v>91</v>
      </c>
      <c r="I42" s="28"/>
      <c r="J42" s="19" t="s">
        <v>22</v>
      </c>
    </row>
    <row r="43" spans="2:10" s="2" customFormat="1" x14ac:dyDescent="0.3">
      <c r="B43" s="39"/>
      <c r="C43" s="39"/>
      <c r="D43" s="39"/>
      <c r="E43" s="39"/>
      <c r="F43" s="39"/>
      <c r="G43" s="39"/>
      <c r="H43" s="39"/>
      <c r="I43" s="39"/>
      <c r="J43" s="39"/>
    </row>
    <row r="44" spans="2:10" s="2" customFormat="1" ht="55.2" x14ac:dyDescent="0.3">
      <c r="B44" s="34" t="s">
        <v>92</v>
      </c>
      <c r="C44" s="32" t="s">
        <v>193</v>
      </c>
      <c r="D44" s="16" t="s">
        <v>194</v>
      </c>
      <c r="E44" s="16" t="s">
        <v>93</v>
      </c>
      <c r="F44" s="16" t="s">
        <v>94</v>
      </c>
      <c r="G44" s="26" t="s">
        <v>0</v>
      </c>
      <c r="H44" s="16" t="s">
        <v>95</v>
      </c>
      <c r="I44" s="28"/>
      <c r="J44" s="19" t="s">
        <v>22</v>
      </c>
    </row>
    <row r="45" spans="2:10" s="2" customFormat="1" x14ac:dyDescent="0.3">
      <c r="B45" s="39"/>
      <c r="C45" s="39"/>
      <c r="D45" s="39"/>
      <c r="E45" s="39"/>
      <c r="F45" s="39"/>
      <c r="G45" s="39"/>
      <c r="H45" s="39"/>
      <c r="I45" s="39"/>
      <c r="J45" s="39"/>
    </row>
    <row r="46" spans="2:10" s="2" customFormat="1" ht="82.8" x14ac:dyDescent="0.3">
      <c r="B46" s="24" t="s">
        <v>96</v>
      </c>
      <c r="C46" s="16" t="s">
        <v>97</v>
      </c>
      <c r="D46" s="16" t="s">
        <v>98</v>
      </c>
      <c r="E46" s="16" t="s">
        <v>93</v>
      </c>
      <c r="F46" s="16" t="s">
        <v>99</v>
      </c>
      <c r="G46" s="26" t="s">
        <v>0</v>
      </c>
      <c r="H46" s="16" t="s">
        <v>156</v>
      </c>
      <c r="I46" s="28"/>
      <c r="J46" s="19" t="s">
        <v>22</v>
      </c>
    </row>
    <row r="47" spans="2:10" s="2" customFormat="1" ht="82.8" x14ac:dyDescent="0.3">
      <c r="B47" s="24" t="s">
        <v>100</v>
      </c>
      <c r="C47" s="16" t="s">
        <v>101</v>
      </c>
      <c r="D47" s="16" t="s">
        <v>102</v>
      </c>
      <c r="E47" s="16" t="s">
        <v>103</v>
      </c>
      <c r="F47" s="16" t="s">
        <v>157</v>
      </c>
      <c r="G47" s="26" t="s">
        <v>0</v>
      </c>
      <c r="H47" s="16" t="s">
        <v>104</v>
      </c>
      <c r="I47" s="28"/>
      <c r="J47" s="19" t="s">
        <v>22</v>
      </c>
    </row>
    <row r="48" spans="2:10" s="2" customFormat="1" ht="96.6" x14ac:dyDescent="0.3">
      <c r="B48" s="24" t="s">
        <v>105</v>
      </c>
      <c r="C48" s="16" t="s">
        <v>106</v>
      </c>
      <c r="D48" s="16" t="s">
        <v>155</v>
      </c>
      <c r="E48" s="16" t="s">
        <v>107</v>
      </c>
      <c r="F48" s="16" t="s">
        <v>158</v>
      </c>
      <c r="G48" s="26" t="s">
        <v>0</v>
      </c>
      <c r="H48" s="16" t="s">
        <v>159</v>
      </c>
      <c r="I48" s="28"/>
      <c r="J48" s="19" t="s">
        <v>22</v>
      </c>
    </row>
    <row r="49" spans="2:10" s="2" customFormat="1" x14ac:dyDescent="0.3">
      <c r="B49" s="39"/>
      <c r="C49" s="39"/>
      <c r="D49" s="39"/>
      <c r="E49" s="39"/>
      <c r="F49" s="39"/>
      <c r="G49" s="39"/>
      <c r="H49" s="39"/>
      <c r="I49" s="39"/>
      <c r="J49" s="39"/>
    </row>
    <row r="50" spans="2:10" s="2" customFormat="1" ht="55.2" x14ac:dyDescent="0.3">
      <c r="B50" s="4" t="s">
        <v>161</v>
      </c>
      <c r="C50" s="16" t="s">
        <v>162</v>
      </c>
      <c r="D50" s="16" t="s">
        <v>196</v>
      </c>
      <c r="E50" s="16" t="s">
        <v>107</v>
      </c>
      <c r="F50" s="16" t="s">
        <v>163</v>
      </c>
      <c r="G50" s="26" t="s">
        <v>0</v>
      </c>
      <c r="H50" s="16" t="s">
        <v>195</v>
      </c>
      <c r="I50" s="46"/>
      <c r="J50" s="19" t="s">
        <v>22</v>
      </c>
    </row>
    <row r="51" spans="2:10" s="2" customFormat="1" ht="82.8" x14ac:dyDescent="0.3">
      <c r="B51" s="4" t="s">
        <v>164</v>
      </c>
      <c r="C51" s="16" t="s">
        <v>165</v>
      </c>
      <c r="D51" s="16" t="s">
        <v>166</v>
      </c>
      <c r="E51" s="16" t="s">
        <v>107</v>
      </c>
      <c r="F51" s="16" t="s">
        <v>163</v>
      </c>
      <c r="G51" s="16" t="s">
        <v>160</v>
      </c>
      <c r="H51" s="16" t="s">
        <v>167</v>
      </c>
      <c r="I51" s="46"/>
      <c r="J51" s="19" t="s">
        <v>22</v>
      </c>
    </row>
    <row r="52" spans="2:10" s="2" customFormat="1" ht="89.4" customHeight="1" x14ac:dyDescent="0.3">
      <c r="B52" s="4" t="s">
        <v>214</v>
      </c>
      <c r="C52" s="16" t="s">
        <v>165</v>
      </c>
      <c r="D52" s="16" t="s">
        <v>166</v>
      </c>
      <c r="E52" s="16" t="s">
        <v>107</v>
      </c>
      <c r="F52" s="16" t="s">
        <v>163</v>
      </c>
      <c r="G52" s="26" t="s">
        <v>0</v>
      </c>
      <c r="H52" s="16" t="s">
        <v>195</v>
      </c>
      <c r="I52" s="46"/>
      <c r="J52" s="19" t="s">
        <v>22</v>
      </c>
    </row>
    <row r="53" spans="2:10" s="2" customFormat="1" ht="15" customHeight="1" x14ac:dyDescent="0.3">
      <c r="B53" s="47"/>
      <c r="C53" s="47"/>
      <c r="D53" s="47"/>
      <c r="E53" s="47"/>
      <c r="F53" s="47"/>
      <c r="G53" s="47"/>
      <c r="H53" s="47"/>
      <c r="I53" s="47"/>
      <c r="J53" s="47"/>
    </row>
    <row r="54" spans="2:10" s="2" customFormat="1" ht="82.8" x14ac:dyDescent="0.3">
      <c r="B54" s="4" t="s">
        <v>108</v>
      </c>
      <c r="C54" s="6" t="s">
        <v>109</v>
      </c>
      <c r="D54" s="6" t="s">
        <v>113</v>
      </c>
      <c r="E54" s="6" t="s">
        <v>168</v>
      </c>
      <c r="F54" s="6" t="s">
        <v>110</v>
      </c>
      <c r="G54" s="5" t="s">
        <v>0</v>
      </c>
      <c r="H54" s="6" t="s">
        <v>111</v>
      </c>
      <c r="I54" s="28"/>
      <c r="J54" s="12" t="s">
        <v>22</v>
      </c>
    </row>
    <row r="55" spans="2:10" s="2" customFormat="1" x14ac:dyDescent="0.3">
      <c r="B55" s="48"/>
      <c r="C55" s="48"/>
      <c r="D55" s="48"/>
      <c r="E55" s="48"/>
      <c r="F55" s="48"/>
      <c r="G55" s="48"/>
      <c r="H55" s="48"/>
      <c r="I55" s="48"/>
      <c r="J55" s="48"/>
    </row>
    <row r="56" spans="2:10" s="2" customFormat="1" ht="69" x14ac:dyDescent="0.3">
      <c r="B56" s="4" t="s">
        <v>169</v>
      </c>
      <c r="C56" s="4" t="s">
        <v>170</v>
      </c>
      <c r="D56" s="6" t="s">
        <v>197</v>
      </c>
      <c r="E56" s="4" t="s">
        <v>171</v>
      </c>
      <c r="F56" s="6" t="s">
        <v>172</v>
      </c>
      <c r="G56" s="5" t="s">
        <v>0</v>
      </c>
      <c r="H56" s="6" t="s">
        <v>175</v>
      </c>
      <c r="I56" s="4"/>
      <c r="J56" s="12" t="s">
        <v>22</v>
      </c>
    </row>
    <row r="57" spans="2:10" s="2" customFormat="1" ht="13.2" customHeight="1" x14ac:dyDescent="0.3">
      <c r="B57" s="48"/>
      <c r="C57" s="48"/>
      <c r="D57" s="48"/>
      <c r="E57" s="48"/>
      <c r="F57" s="48"/>
      <c r="G57" s="48"/>
      <c r="H57" s="48"/>
      <c r="I57" s="48"/>
      <c r="J57" s="48"/>
    </row>
    <row r="58" spans="2:10" s="2" customFormat="1" ht="86.4" customHeight="1" x14ac:dyDescent="0.3">
      <c r="B58" s="4" t="s">
        <v>198</v>
      </c>
      <c r="C58" s="4" t="s">
        <v>173</v>
      </c>
      <c r="D58" s="6" t="s">
        <v>201</v>
      </c>
      <c r="E58" s="4" t="s">
        <v>199</v>
      </c>
      <c r="F58" s="4" t="s">
        <v>174</v>
      </c>
      <c r="G58" s="5" t="s">
        <v>0</v>
      </c>
      <c r="H58" s="6" t="s">
        <v>200</v>
      </c>
      <c r="I58" s="4"/>
      <c r="J58" s="12" t="s">
        <v>22</v>
      </c>
    </row>
    <row r="59" spans="2:10" s="2" customFormat="1" ht="14.4" customHeight="1" x14ac:dyDescent="0.3">
      <c r="B59" s="48"/>
      <c r="C59" s="48"/>
      <c r="D59" s="48"/>
      <c r="E59" s="48"/>
      <c r="F59" s="48"/>
      <c r="G59" s="48"/>
      <c r="H59" s="48"/>
      <c r="I59" s="48"/>
      <c r="J59" s="48"/>
    </row>
    <row r="60" spans="2:10" s="2" customFormat="1" ht="55.2" x14ac:dyDescent="0.3">
      <c r="B60" s="4" t="s">
        <v>202</v>
      </c>
      <c r="C60" s="4" t="s">
        <v>203</v>
      </c>
      <c r="D60" s="6" t="s">
        <v>204</v>
      </c>
      <c r="E60" s="4" t="s">
        <v>205</v>
      </c>
      <c r="F60" s="4" t="s">
        <v>206</v>
      </c>
      <c r="G60" s="5" t="s">
        <v>0</v>
      </c>
      <c r="H60" s="4" t="s">
        <v>207</v>
      </c>
      <c r="I60" s="4"/>
      <c r="J60" s="12" t="s">
        <v>22</v>
      </c>
    </row>
    <row r="61" spans="2:10" s="2" customFormat="1" ht="89.4" customHeight="1" x14ac:dyDescent="0.3">
      <c r="B61" s="4" t="s">
        <v>208</v>
      </c>
      <c r="C61" s="4" t="s">
        <v>209</v>
      </c>
      <c r="D61" s="6" t="s">
        <v>210</v>
      </c>
      <c r="E61" s="4" t="s">
        <v>211</v>
      </c>
      <c r="F61" s="4" t="s">
        <v>212</v>
      </c>
      <c r="G61" s="5" t="s">
        <v>0</v>
      </c>
      <c r="H61" s="4" t="s">
        <v>213</v>
      </c>
      <c r="I61" s="4"/>
      <c r="J61" s="12" t="s">
        <v>22</v>
      </c>
    </row>
    <row r="62" spans="2:10" s="2" customFormat="1" ht="69.599999999999994" customHeight="1" x14ac:dyDescent="0.3">
      <c r="B62" s="4"/>
      <c r="C62" s="4"/>
      <c r="D62" s="4"/>
      <c r="E62" s="4"/>
      <c r="F62" s="4"/>
      <c r="G62" s="4"/>
      <c r="H62" s="4"/>
      <c r="I62" s="4"/>
      <c r="J62" s="4"/>
    </row>
    <row r="63" spans="2:10" s="2" customFormat="1" ht="97.2" customHeight="1" x14ac:dyDescent="0.3">
      <c r="B63" s="4"/>
      <c r="C63" s="4"/>
      <c r="D63" s="4"/>
      <c r="E63" s="4"/>
      <c r="F63" s="4"/>
      <c r="G63" s="4"/>
      <c r="H63" s="4"/>
      <c r="I63" s="4"/>
      <c r="J63" s="4"/>
    </row>
    <row r="64" spans="2:10" s="2" customFormat="1" ht="70.2" customHeight="1" x14ac:dyDescent="0.3"/>
    <row r="65" s="2" customFormat="1" ht="75.599999999999994" customHeight="1" x14ac:dyDescent="0.3"/>
    <row r="66" s="2" customFormat="1" x14ac:dyDescent="0.3"/>
    <row r="67" s="2" customFormat="1" x14ac:dyDescent="0.3"/>
    <row r="68" s="2" customFormat="1" x14ac:dyDescent="0.3"/>
    <row r="69" s="2" customFormat="1" x14ac:dyDescent="0.3"/>
    <row r="70" s="2" customFormat="1" x14ac:dyDescent="0.3"/>
    <row r="71" s="2" customFormat="1" x14ac:dyDescent="0.3"/>
    <row r="72" s="2" customFormat="1" x14ac:dyDescent="0.3"/>
    <row r="73" s="2" customFormat="1" x14ac:dyDescent="0.3"/>
    <row r="74" s="2" customFormat="1" x14ac:dyDescent="0.3"/>
    <row r="75" s="2" customFormat="1" x14ac:dyDescent="0.3"/>
    <row r="76" s="2" customFormat="1" x14ac:dyDescent="0.3"/>
    <row r="77" s="2" customFormat="1" x14ac:dyDescent="0.3"/>
    <row r="78" s="2" customFormat="1" x14ac:dyDescent="0.3"/>
    <row r="79" s="2" customFormat="1" x14ac:dyDescent="0.3"/>
    <row r="80" s="2" customFormat="1" x14ac:dyDescent="0.3"/>
    <row r="81" s="2" customFormat="1" x14ac:dyDescent="0.3"/>
    <row r="82" s="2" customFormat="1" x14ac:dyDescent="0.3"/>
    <row r="83" s="2" customFormat="1" x14ac:dyDescent="0.3"/>
    <row r="84" s="2" customFormat="1" x14ac:dyDescent="0.3"/>
    <row r="85" s="2" customFormat="1" x14ac:dyDescent="0.3"/>
    <row r="86" s="2" customFormat="1" x14ac:dyDescent="0.3"/>
    <row r="87" s="2" customFormat="1" x14ac:dyDescent="0.3"/>
    <row r="88" s="2" customFormat="1" x14ac:dyDescent="0.3"/>
    <row r="89" s="2" customFormat="1" x14ac:dyDescent="0.3"/>
    <row r="90" s="2" customFormat="1" x14ac:dyDescent="0.3"/>
    <row r="91" s="2" customFormat="1" x14ac:dyDescent="0.3"/>
    <row r="92" s="2" customFormat="1" x14ac:dyDescent="0.3"/>
    <row r="93" s="2" customFormat="1" x14ac:dyDescent="0.3"/>
    <row r="94" s="2" customFormat="1" x14ac:dyDescent="0.3"/>
    <row r="95" s="2" customFormat="1" x14ac:dyDescent="0.3"/>
    <row r="96" s="2" customFormat="1" x14ac:dyDescent="0.3"/>
    <row r="97" s="2" customFormat="1" x14ac:dyDescent="0.3"/>
    <row r="98" s="2" customFormat="1" x14ac:dyDescent="0.3"/>
    <row r="99" s="2" customFormat="1" x14ac:dyDescent="0.3"/>
    <row r="100" s="2" customFormat="1" x14ac:dyDescent="0.3"/>
    <row r="101" s="2" customFormat="1" x14ac:dyDescent="0.3"/>
    <row r="102" s="2" customFormat="1" x14ac:dyDescent="0.3"/>
    <row r="103" s="2" customFormat="1" x14ac:dyDescent="0.3"/>
    <row r="104" s="2" customFormat="1" x14ac:dyDescent="0.3"/>
    <row r="105" s="2" customFormat="1" x14ac:dyDescent="0.3"/>
    <row r="106" s="2" customFormat="1" x14ac:dyDescent="0.3"/>
    <row r="107" s="2" customFormat="1" x14ac:dyDescent="0.3"/>
    <row r="108" s="2" customFormat="1" x14ac:dyDescent="0.3"/>
    <row r="109" s="2" customFormat="1" x14ac:dyDescent="0.3"/>
    <row r="110" s="2" customFormat="1" x14ac:dyDescent="0.3"/>
    <row r="111" s="2" customFormat="1" x14ac:dyDescent="0.3"/>
    <row r="112" s="2" customFormat="1" x14ac:dyDescent="0.3"/>
    <row r="113" s="2" customFormat="1" x14ac:dyDescent="0.3"/>
    <row r="114" s="2" customFormat="1" x14ac:dyDescent="0.3"/>
    <row r="115" s="2" customFormat="1" x14ac:dyDescent="0.3"/>
    <row r="116" s="2" customFormat="1" x14ac:dyDescent="0.3"/>
    <row r="117" s="2" customFormat="1" x14ac:dyDescent="0.3"/>
    <row r="118" s="2" customFormat="1" x14ac:dyDescent="0.3"/>
    <row r="119" s="2" customFormat="1" x14ac:dyDescent="0.3"/>
    <row r="120" s="2" customFormat="1" x14ac:dyDescent="0.3"/>
    <row r="121" s="2" customFormat="1" x14ac:dyDescent="0.3"/>
    <row r="122" s="2" customFormat="1" x14ac:dyDescent="0.3"/>
    <row r="123" s="2" customFormat="1" x14ac:dyDescent="0.3"/>
    <row r="124" s="2" customFormat="1" x14ac:dyDescent="0.3"/>
    <row r="125" s="2" customFormat="1" x14ac:dyDescent="0.3"/>
    <row r="126" s="2" customFormat="1" x14ac:dyDescent="0.3"/>
    <row r="127" s="2" customFormat="1" x14ac:dyDescent="0.3"/>
    <row r="128" s="2" customFormat="1" x14ac:dyDescent="0.3"/>
    <row r="129" s="2" customFormat="1" x14ac:dyDescent="0.3"/>
    <row r="130" s="2" customFormat="1" x14ac:dyDescent="0.3"/>
    <row r="131" s="2" customFormat="1" x14ac:dyDescent="0.3"/>
    <row r="132" s="2" customFormat="1" x14ac:dyDescent="0.3"/>
    <row r="133" s="2" customFormat="1" x14ac:dyDescent="0.3"/>
    <row r="134" s="2" customFormat="1" x14ac:dyDescent="0.3"/>
    <row r="135" s="2" customFormat="1" x14ac:dyDescent="0.3"/>
    <row r="136" s="2" customFormat="1" x14ac:dyDescent="0.3"/>
    <row r="137" s="2" customFormat="1" x14ac:dyDescent="0.3"/>
    <row r="138" s="2" customFormat="1" x14ac:dyDescent="0.3"/>
    <row r="139" s="2" customFormat="1" x14ac:dyDescent="0.3"/>
    <row r="140" s="2" customFormat="1" x14ac:dyDescent="0.3"/>
    <row r="141" s="2" customFormat="1" x14ac:dyDescent="0.3"/>
    <row r="142" s="2" customFormat="1" x14ac:dyDescent="0.3"/>
    <row r="143" s="2" customFormat="1" x14ac:dyDescent="0.3"/>
    <row r="144" s="2" customFormat="1" x14ac:dyDescent="0.3"/>
    <row r="145" s="2" customFormat="1" x14ac:dyDescent="0.3"/>
    <row r="146" s="2" customFormat="1" x14ac:dyDescent="0.3"/>
    <row r="147" s="2" customFormat="1" x14ac:dyDescent="0.3"/>
    <row r="148" s="2" customFormat="1" x14ac:dyDescent="0.3"/>
    <row r="149" s="2" customFormat="1" x14ac:dyDescent="0.3"/>
    <row r="150" s="2" customFormat="1" x14ac:dyDescent="0.3"/>
    <row r="151" s="2" customFormat="1" x14ac:dyDescent="0.3"/>
    <row r="152" s="2" customFormat="1" x14ac:dyDescent="0.3"/>
    <row r="153" s="2" customFormat="1" x14ac:dyDescent="0.3"/>
    <row r="154" s="2" customFormat="1" x14ac:dyDescent="0.3"/>
    <row r="155" s="2" customFormat="1" x14ac:dyDescent="0.3"/>
    <row r="156" s="2" customFormat="1" x14ac:dyDescent="0.3"/>
    <row r="157" s="2" customFormat="1" x14ac:dyDescent="0.3"/>
    <row r="158" s="2" customFormat="1" x14ac:dyDescent="0.3"/>
    <row r="159" s="2" customFormat="1" x14ac:dyDescent="0.3"/>
    <row r="160" s="2" customFormat="1" x14ac:dyDescent="0.3"/>
    <row r="161" s="2" customFormat="1" x14ac:dyDescent="0.3"/>
    <row r="162" s="2" customFormat="1" x14ac:dyDescent="0.3"/>
    <row r="163" s="2" customFormat="1" x14ac:dyDescent="0.3"/>
    <row r="164" s="2" customFormat="1" x14ac:dyDescent="0.3"/>
    <row r="165" s="2" customFormat="1" x14ac:dyDescent="0.3"/>
    <row r="166" s="2" customFormat="1" x14ac:dyDescent="0.3"/>
    <row r="167" s="2" customFormat="1" x14ac:dyDescent="0.3"/>
    <row r="168" s="2" customFormat="1" x14ac:dyDescent="0.3"/>
    <row r="169" s="2" customFormat="1" x14ac:dyDescent="0.3"/>
    <row r="170" s="2" customFormat="1" x14ac:dyDescent="0.3"/>
    <row r="171" s="2" customFormat="1" x14ac:dyDescent="0.3"/>
    <row r="172" s="2" customFormat="1" x14ac:dyDescent="0.3"/>
    <row r="173" s="2" customFormat="1" x14ac:dyDescent="0.3"/>
    <row r="174" s="2" customFormat="1" x14ac:dyDescent="0.3"/>
    <row r="175" s="2" customFormat="1" x14ac:dyDescent="0.3"/>
    <row r="176" s="2" customFormat="1" x14ac:dyDescent="0.3"/>
    <row r="177" s="2" customFormat="1" x14ac:dyDescent="0.3"/>
    <row r="178" s="2" customFormat="1" x14ac:dyDescent="0.3"/>
    <row r="179" s="2" customFormat="1" x14ac:dyDescent="0.3"/>
    <row r="180" s="2" customFormat="1" x14ac:dyDescent="0.3"/>
    <row r="181" s="2" customFormat="1" x14ac:dyDescent="0.3"/>
    <row r="182" s="2" customFormat="1" x14ac:dyDescent="0.3"/>
    <row r="183" s="2" customFormat="1" x14ac:dyDescent="0.3"/>
    <row r="184" s="2" customFormat="1" x14ac:dyDescent="0.3"/>
    <row r="185" s="2" customFormat="1" x14ac:dyDescent="0.3"/>
    <row r="186" s="2" customFormat="1" x14ac:dyDescent="0.3"/>
    <row r="187" s="2" customFormat="1" x14ac:dyDescent="0.3"/>
    <row r="188" s="2" customFormat="1" x14ac:dyDescent="0.3"/>
    <row r="189" s="2" customFormat="1" x14ac:dyDescent="0.3"/>
    <row r="190" s="2" customFormat="1" x14ac:dyDescent="0.3"/>
    <row r="191" s="2" customFormat="1" x14ac:dyDescent="0.3"/>
    <row r="192" s="2" customFormat="1" x14ac:dyDescent="0.3"/>
    <row r="193" s="2" customFormat="1" x14ac:dyDescent="0.3"/>
    <row r="194" s="2" customFormat="1" x14ac:dyDescent="0.3"/>
    <row r="195" s="2" customFormat="1" x14ac:dyDescent="0.3"/>
    <row r="196" s="2" customFormat="1" x14ac:dyDescent="0.3"/>
    <row r="197" s="2" customFormat="1" x14ac:dyDescent="0.3"/>
    <row r="198" s="2" customFormat="1" x14ac:dyDescent="0.3"/>
    <row r="199" s="2" customFormat="1" x14ac:dyDescent="0.3"/>
    <row r="200" s="2" customFormat="1" x14ac:dyDescent="0.3"/>
    <row r="201" s="2" customFormat="1" x14ac:dyDescent="0.3"/>
    <row r="202" s="2" customFormat="1" x14ac:dyDescent="0.3"/>
    <row r="203" s="2" customFormat="1" x14ac:dyDescent="0.3"/>
    <row r="204" s="2" customFormat="1" x14ac:dyDescent="0.3"/>
    <row r="205" s="2" customFormat="1" x14ac:dyDescent="0.3"/>
    <row r="206" s="2" customFormat="1" x14ac:dyDescent="0.3"/>
    <row r="207" s="2" customFormat="1" x14ac:dyDescent="0.3"/>
    <row r="208" s="2" customFormat="1" x14ac:dyDescent="0.3"/>
    <row r="209" s="2" customFormat="1" x14ac:dyDescent="0.3"/>
    <row r="210" s="2" customFormat="1" x14ac:dyDescent="0.3"/>
    <row r="211" s="2" customFormat="1" x14ac:dyDescent="0.3"/>
    <row r="212" s="2" customFormat="1" x14ac:dyDescent="0.3"/>
    <row r="213" s="2" customFormat="1" x14ac:dyDescent="0.3"/>
    <row r="214" s="2" customFormat="1" x14ac:dyDescent="0.3"/>
    <row r="215" s="2" customFormat="1" x14ac:dyDescent="0.3"/>
    <row r="216" s="2" customFormat="1" x14ac:dyDescent="0.3"/>
    <row r="217" s="2" customFormat="1" x14ac:dyDescent="0.3"/>
    <row r="218" s="2" customFormat="1" x14ac:dyDescent="0.3"/>
    <row r="219" s="2" customFormat="1" x14ac:dyDescent="0.3"/>
    <row r="220" s="2" customFormat="1" x14ac:dyDescent="0.3"/>
    <row r="221" s="2" customFormat="1" x14ac:dyDescent="0.3"/>
    <row r="222" s="2" customFormat="1" x14ac:dyDescent="0.3"/>
    <row r="223" s="2" customFormat="1" x14ac:dyDescent="0.3"/>
    <row r="224" s="2" customFormat="1" x14ac:dyDescent="0.3"/>
    <row r="225" s="2" customFormat="1" x14ac:dyDescent="0.3"/>
    <row r="226" s="2" customFormat="1" x14ac:dyDescent="0.3"/>
    <row r="227" s="2" customFormat="1" x14ac:dyDescent="0.3"/>
    <row r="228" s="2" customFormat="1" x14ac:dyDescent="0.3"/>
    <row r="229" s="2" customFormat="1" x14ac:dyDescent="0.3"/>
    <row r="230" s="2" customFormat="1" x14ac:dyDescent="0.3"/>
    <row r="231" s="2" customFormat="1" x14ac:dyDescent="0.3"/>
    <row r="232" s="2" customFormat="1" x14ac:dyDescent="0.3"/>
    <row r="233" s="2" customFormat="1" x14ac:dyDescent="0.3"/>
    <row r="234" s="2" customFormat="1" x14ac:dyDescent="0.3"/>
    <row r="235" s="2" customFormat="1" x14ac:dyDescent="0.3"/>
    <row r="236" s="2" customFormat="1" x14ac:dyDescent="0.3"/>
    <row r="237" s="2" customFormat="1" x14ac:dyDescent="0.3"/>
    <row r="238" s="2" customFormat="1" x14ac:dyDescent="0.3"/>
    <row r="239" s="2" customFormat="1" x14ac:dyDescent="0.3"/>
    <row r="240" s="2" customFormat="1" x14ac:dyDescent="0.3"/>
    <row r="241" s="2" customFormat="1" x14ac:dyDescent="0.3"/>
    <row r="242" s="2" customFormat="1" x14ac:dyDescent="0.3"/>
    <row r="243" s="2" customFormat="1" x14ac:dyDescent="0.3"/>
    <row r="244" s="2" customFormat="1" x14ac:dyDescent="0.3"/>
    <row r="245" s="2" customFormat="1" x14ac:dyDescent="0.3"/>
    <row r="246" s="2" customFormat="1" x14ac:dyDescent="0.3"/>
    <row r="247" s="2" customFormat="1" x14ac:dyDescent="0.3"/>
    <row r="248" s="2" customFormat="1" x14ac:dyDescent="0.3"/>
    <row r="249" s="2" customFormat="1" x14ac:dyDescent="0.3"/>
    <row r="250" s="2" customFormat="1" x14ac:dyDescent="0.3"/>
    <row r="251" s="2" customFormat="1" x14ac:dyDescent="0.3"/>
    <row r="252" s="2" customFormat="1" x14ac:dyDescent="0.3"/>
    <row r="253" s="2" customFormat="1" x14ac:dyDescent="0.3"/>
    <row r="254" s="2" customFormat="1" x14ac:dyDescent="0.3"/>
    <row r="255" s="2" customFormat="1" x14ac:dyDescent="0.3"/>
    <row r="256" s="2" customFormat="1" x14ac:dyDescent="0.3"/>
    <row r="257" s="2" customFormat="1" x14ac:dyDescent="0.3"/>
    <row r="258" s="2" customFormat="1" x14ac:dyDescent="0.3"/>
    <row r="259" s="2" customFormat="1" x14ac:dyDescent="0.3"/>
    <row r="260" s="2" customFormat="1" x14ac:dyDescent="0.3"/>
    <row r="261" s="2" customFormat="1" x14ac:dyDescent="0.3"/>
    <row r="262" s="2" customFormat="1" x14ac:dyDescent="0.3"/>
    <row r="263" s="2" customFormat="1" x14ac:dyDescent="0.3"/>
    <row r="264" s="2" customFormat="1" x14ac:dyDescent="0.3"/>
    <row r="265" s="2" customFormat="1" x14ac:dyDescent="0.3"/>
    <row r="266" s="2" customFormat="1" x14ac:dyDescent="0.3"/>
    <row r="267" s="2" customFormat="1" x14ac:dyDescent="0.3"/>
    <row r="268" s="2" customFormat="1" x14ac:dyDescent="0.3"/>
    <row r="269" s="2" customFormat="1" x14ac:dyDescent="0.3"/>
    <row r="270" s="2" customFormat="1" x14ac:dyDescent="0.3"/>
    <row r="271" s="2" customFormat="1" x14ac:dyDescent="0.3"/>
    <row r="272" s="2" customFormat="1" x14ac:dyDescent="0.3"/>
    <row r="273" s="2" customFormat="1" x14ac:dyDescent="0.3"/>
    <row r="274" s="2" customFormat="1" x14ac:dyDescent="0.3"/>
    <row r="275" s="2" customFormat="1" x14ac:dyDescent="0.3"/>
    <row r="276" s="2" customFormat="1" x14ac:dyDescent="0.3"/>
    <row r="277" s="2" customFormat="1" x14ac:dyDescent="0.3"/>
    <row r="278" s="2" customFormat="1" x14ac:dyDescent="0.3"/>
    <row r="279" s="2" customFormat="1" x14ac:dyDescent="0.3"/>
    <row r="280" s="2" customFormat="1" x14ac:dyDescent="0.3"/>
    <row r="281" s="2" customFormat="1" x14ac:dyDescent="0.3"/>
    <row r="282" s="2" customFormat="1" x14ac:dyDescent="0.3"/>
    <row r="283" s="2" customFormat="1" x14ac:dyDescent="0.3"/>
    <row r="284" s="2" customFormat="1" x14ac:dyDescent="0.3"/>
    <row r="285" s="2" customFormat="1" x14ac:dyDescent="0.3"/>
    <row r="286" s="2" customFormat="1" x14ac:dyDescent="0.3"/>
    <row r="287" s="2" customFormat="1" x14ac:dyDescent="0.3"/>
    <row r="288" s="2" customFormat="1" x14ac:dyDescent="0.3"/>
    <row r="289" s="2" customFormat="1" x14ac:dyDescent="0.3"/>
    <row r="290" s="2" customFormat="1" x14ac:dyDescent="0.3"/>
    <row r="291" s="2" customFormat="1" x14ac:dyDescent="0.3"/>
    <row r="292" s="2" customFormat="1" x14ac:dyDescent="0.3"/>
    <row r="293" s="2" customFormat="1" x14ac:dyDescent="0.3"/>
    <row r="294" s="2" customFormat="1" x14ac:dyDescent="0.3"/>
    <row r="295" s="2" customFormat="1" x14ac:dyDescent="0.3"/>
    <row r="296" s="2" customFormat="1" x14ac:dyDescent="0.3"/>
    <row r="297" s="2" customFormat="1" x14ac:dyDescent="0.3"/>
    <row r="298" s="2" customFormat="1" x14ac:dyDescent="0.3"/>
    <row r="299" s="2" customFormat="1" x14ac:dyDescent="0.3"/>
    <row r="300" s="2" customFormat="1" x14ac:dyDescent="0.3"/>
    <row r="301" s="2" customFormat="1" x14ac:dyDescent="0.3"/>
    <row r="302" s="2" customFormat="1" x14ac:dyDescent="0.3"/>
    <row r="303" s="2" customFormat="1" x14ac:dyDescent="0.3"/>
    <row r="304" s="2" customFormat="1" x14ac:dyDescent="0.3"/>
    <row r="305" s="2" customFormat="1" x14ac:dyDescent="0.3"/>
    <row r="306" s="2" customFormat="1" x14ac:dyDescent="0.3"/>
    <row r="307" s="2" customFormat="1" x14ac:dyDescent="0.3"/>
    <row r="308" s="2" customFormat="1" x14ac:dyDescent="0.3"/>
    <row r="309" s="2" customFormat="1" x14ac:dyDescent="0.3"/>
    <row r="310" s="2" customFormat="1" x14ac:dyDescent="0.3"/>
    <row r="311" s="2" customFormat="1" x14ac:dyDescent="0.3"/>
    <row r="312" s="2" customFormat="1" x14ac:dyDescent="0.3"/>
    <row r="313" s="2" customFormat="1" x14ac:dyDescent="0.3"/>
    <row r="314" s="2" customFormat="1" x14ac:dyDescent="0.3"/>
    <row r="315" s="2" customFormat="1" x14ac:dyDescent="0.3"/>
    <row r="316" s="2" customFormat="1" x14ac:dyDescent="0.3"/>
    <row r="317" s="2" customFormat="1" x14ac:dyDescent="0.3"/>
    <row r="318" s="2" customFormat="1" x14ac:dyDescent="0.3"/>
    <row r="319" s="2" customFormat="1" x14ac:dyDescent="0.3"/>
    <row r="320" s="2" customFormat="1" x14ac:dyDescent="0.3"/>
    <row r="321" s="2" customFormat="1" x14ac:dyDescent="0.3"/>
    <row r="322" s="2" customFormat="1" x14ac:dyDescent="0.3"/>
    <row r="323" s="2" customFormat="1" x14ac:dyDescent="0.3"/>
    <row r="324" s="2" customFormat="1" x14ac:dyDescent="0.3"/>
    <row r="325" s="2" customFormat="1" x14ac:dyDescent="0.3"/>
    <row r="326" s="2" customFormat="1" x14ac:dyDescent="0.3"/>
    <row r="327" s="2" customFormat="1" x14ac:dyDescent="0.3"/>
    <row r="328" s="2" customFormat="1" x14ac:dyDescent="0.3"/>
    <row r="329" s="2" customFormat="1" x14ac:dyDescent="0.3"/>
    <row r="330" s="2" customFormat="1" x14ac:dyDescent="0.3"/>
    <row r="331" s="2" customFormat="1" x14ac:dyDescent="0.3"/>
    <row r="332" s="2" customFormat="1" x14ac:dyDescent="0.3"/>
    <row r="333" s="2" customFormat="1" x14ac:dyDescent="0.3"/>
    <row r="334" s="2" customFormat="1" x14ac:dyDescent="0.3"/>
    <row r="335" s="2" customFormat="1" x14ac:dyDescent="0.3"/>
    <row r="336" s="2" customFormat="1" x14ac:dyDescent="0.3"/>
    <row r="337" s="2" customFormat="1" x14ac:dyDescent="0.3"/>
    <row r="338" s="2" customFormat="1" x14ac:dyDescent="0.3"/>
    <row r="339" s="2" customFormat="1" x14ac:dyDescent="0.3"/>
    <row r="340" s="2" customFormat="1" x14ac:dyDescent="0.3"/>
    <row r="341" s="2" customFormat="1" x14ac:dyDescent="0.3"/>
    <row r="342" s="2" customFormat="1" x14ac:dyDescent="0.3"/>
    <row r="343" s="2" customFormat="1" x14ac:dyDescent="0.3"/>
    <row r="344" s="2" customFormat="1" x14ac:dyDescent="0.3"/>
    <row r="345" s="2" customFormat="1" x14ac:dyDescent="0.3"/>
    <row r="346" s="2" customFormat="1" x14ac:dyDescent="0.3"/>
    <row r="347" s="2" customFormat="1" x14ac:dyDescent="0.3"/>
    <row r="348" s="2" customFormat="1" x14ac:dyDescent="0.3"/>
    <row r="349" s="2" customFormat="1" x14ac:dyDescent="0.3"/>
    <row r="350" s="2" customFormat="1" x14ac:dyDescent="0.3"/>
    <row r="351" s="2" customFormat="1" x14ac:dyDescent="0.3"/>
    <row r="352" s="2" customFormat="1" x14ac:dyDescent="0.3"/>
    <row r="353" s="2" customFormat="1" x14ac:dyDescent="0.3"/>
    <row r="354" s="2" customFormat="1" x14ac:dyDescent="0.3"/>
    <row r="355" s="2" customFormat="1" x14ac:dyDescent="0.3"/>
    <row r="356" s="2" customFormat="1" x14ac:dyDescent="0.3"/>
    <row r="357" s="2" customFormat="1" x14ac:dyDescent="0.3"/>
    <row r="358" s="2" customFormat="1" x14ac:dyDescent="0.3"/>
    <row r="359" s="2" customFormat="1" x14ac:dyDescent="0.3"/>
    <row r="360" s="2" customFormat="1" x14ac:dyDescent="0.3"/>
    <row r="361" s="2" customFormat="1" x14ac:dyDescent="0.3"/>
    <row r="362" s="2" customFormat="1" x14ac:dyDescent="0.3"/>
    <row r="363" s="2" customFormat="1" x14ac:dyDescent="0.3"/>
    <row r="364" s="2" customFormat="1" x14ac:dyDescent="0.3"/>
    <row r="365" s="2" customFormat="1" x14ac:dyDescent="0.3"/>
    <row r="366" s="2" customFormat="1" x14ac:dyDescent="0.3"/>
    <row r="367" s="2" customFormat="1" x14ac:dyDescent="0.3"/>
    <row r="368" s="2" customFormat="1" x14ac:dyDescent="0.3"/>
    <row r="369" s="2" customFormat="1" x14ac:dyDescent="0.3"/>
    <row r="370" s="2" customFormat="1" x14ac:dyDescent="0.3"/>
    <row r="371" s="2" customFormat="1" x14ac:dyDescent="0.3"/>
    <row r="372" s="2" customFormat="1" x14ac:dyDescent="0.3"/>
    <row r="373" s="2" customFormat="1" x14ac:dyDescent="0.3"/>
    <row r="374" s="2" customFormat="1" x14ac:dyDescent="0.3"/>
    <row r="375" s="2" customFormat="1" x14ac:dyDescent="0.3"/>
    <row r="376" s="2" customFormat="1" x14ac:dyDescent="0.3"/>
    <row r="377" s="2" customFormat="1" x14ac:dyDescent="0.3"/>
    <row r="378" s="2" customFormat="1" x14ac:dyDescent="0.3"/>
    <row r="379" s="2" customFormat="1" x14ac:dyDescent="0.3"/>
    <row r="380" s="2" customFormat="1" x14ac:dyDescent="0.3"/>
    <row r="381" s="2" customFormat="1" x14ac:dyDescent="0.3"/>
    <row r="382" s="2" customFormat="1" x14ac:dyDescent="0.3"/>
    <row r="383" s="2" customFormat="1" x14ac:dyDescent="0.3"/>
    <row r="384" s="2" customFormat="1" x14ac:dyDescent="0.3"/>
    <row r="385" s="2" customFormat="1" x14ac:dyDescent="0.3"/>
    <row r="386" s="2" customFormat="1" x14ac:dyDescent="0.3"/>
    <row r="387" s="2" customFormat="1" x14ac:dyDescent="0.3"/>
    <row r="388" s="2" customFormat="1" x14ac:dyDescent="0.3"/>
    <row r="389" s="2" customFormat="1" x14ac:dyDescent="0.3"/>
    <row r="390" s="2" customFormat="1" x14ac:dyDescent="0.3"/>
    <row r="391" s="2" customFormat="1" x14ac:dyDescent="0.3"/>
    <row r="392" s="2" customFormat="1" x14ac:dyDescent="0.3"/>
    <row r="393" s="2" customFormat="1" x14ac:dyDescent="0.3"/>
    <row r="394" s="2" customFormat="1" x14ac:dyDescent="0.3"/>
    <row r="395" s="2" customFormat="1" x14ac:dyDescent="0.3"/>
    <row r="396" s="2" customFormat="1" x14ac:dyDescent="0.3"/>
    <row r="397" s="2" customFormat="1" x14ac:dyDescent="0.3"/>
    <row r="398" s="2" customFormat="1" x14ac:dyDescent="0.3"/>
    <row r="399" s="2" customFormat="1" x14ac:dyDescent="0.3"/>
    <row r="400" s="2" customFormat="1" x14ac:dyDescent="0.3"/>
    <row r="401" spans="2:9" s="2" customFormat="1" x14ac:dyDescent="0.3"/>
    <row r="402" spans="2:9" s="2" customFormat="1" x14ac:dyDescent="0.3"/>
    <row r="403" spans="2:9" s="2" customFormat="1" x14ac:dyDescent="0.3">
      <c r="B403"/>
      <c r="C403"/>
      <c r="D403"/>
      <c r="E403"/>
      <c r="F403"/>
      <c r="G403"/>
      <c r="H403"/>
      <c r="I403"/>
    </row>
    <row r="404" spans="2:9" s="2" customFormat="1" x14ac:dyDescent="0.3">
      <c r="B404"/>
      <c r="C404"/>
      <c r="D404"/>
      <c r="E404"/>
      <c r="F404"/>
      <c r="G404"/>
      <c r="H404"/>
      <c r="I404"/>
    </row>
    <row r="405" spans="2:9" s="2" customFormat="1" x14ac:dyDescent="0.3">
      <c r="B405"/>
      <c r="C405"/>
      <c r="D405"/>
      <c r="E405"/>
      <c r="F405"/>
      <c r="G405"/>
      <c r="H405"/>
      <c r="I405"/>
    </row>
    <row r="406" spans="2:9" s="2" customFormat="1" x14ac:dyDescent="0.3">
      <c r="B406"/>
      <c r="C406"/>
      <c r="D406"/>
      <c r="E406"/>
      <c r="F406"/>
      <c r="G406"/>
      <c r="H406"/>
      <c r="I406"/>
    </row>
    <row r="407" spans="2:9" s="2" customFormat="1" x14ac:dyDescent="0.3">
      <c r="B407"/>
      <c r="C407"/>
      <c r="D407"/>
      <c r="E407"/>
      <c r="F407"/>
      <c r="G407"/>
      <c r="H407"/>
      <c r="I407"/>
    </row>
    <row r="408" spans="2:9" s="2" customFormat="1" x14ac:dyDescent="0.3">
      <c r="B408"/>
      <c r="C408"/>
      <c r="D408"/>
      <c r="E408"/>
      <c r="F408"/>
      <c r="G408"/>
      <c r="H408"/>
      <c r="I408"/>
    </row>
    <row r="409" spans="2:9" s="2" customFormat="1" x14ac:dyDescent="0.3">
      <c r="B409"/>
      <c r="C409"/>
      <c r="D409"/>
      <c r="E409"/>
      <c r="F409"/>
      <c r="G409"/>
      <c r="H409"/>
      <c r="I409"/>
    </row>
    <row r="410" spans="2:9" s="2" customFormat="1" x14ac:dyDescent="0.3">
      <c r="B410"/>
      <c r="C410"/>
      <c r="D410"/>
      <c r="E410"/>
      <c r="F410"/>
      <c r="G410"/>
      <c r="H410"/>
      <c r="I410"/>
    </row>
    <row r="411" spans="2:9" s="2" customFormat="1" x14ac:dyDescent="0.3">
      <c r="B411"/>
      <c r="C411"/>
      <c r="D411"/>
      <c r="E411"/>
      <c r="F411"/>
      <c r="G411"/>
      <c r="H411"/>
      <c r="I411"/>
    </row>
    <row r="412" spans="2:9" s="2" customFormat="1" x14ac:dyDescent="0.3">
      <c r="B412"/>
      <c r="C412"/>
      <c r="D412"/>
      <c r="E412"/>
      <c r="F412"/>
      <c r="G412"/>
      <c r="H412"/>
      <c r="I412"/>
    </row>
    <row r="413" spans="2:9" s="2" customFormat="1" x14ac:dyDescent="0.3">
      <c r="B413"/>
      <c r="C413"/>
      <c r="D413"/>
      <c r="E413"/>
      <c r="F413"/>
      <c r="G413"/>
      <c r="H413"/>
      <c r="I413"/>
    </row>
    <row r="414" spans="2:9" s="2" customFormat="1" x14ac:dyDescent="0.3">
      <c r="B414"/>
      <c r="C414"/>
      <c r="D414"/>
      <c r="E414"/>
      <c r="F414"/>
      <c r="G414"/>
      <c r="H414"/>
      <c r="I414"/>
    </row>
    <row r="415" spans="2:9" s="2" customFormat="1" x14ac:dyDescent="0.3">
      <c r="B415"/>
      <c r="C415"/>
      <c r="D415"/>
      <c r="E415"/>
      <c r="F415"/>
      <c r="G415"/>
      <c r="H415"/>
      <c r="I415"/>
    </row>
    <row r="416" spans="2:9" s="2" customFormat="1" x14ac:dyDescent="0.3">
      <c r="B416"/>
      <c r="C416"/>
      <c r="D416"/>
      <c r="E416"/>
      <c r="F416"/>
      <c r="G416"/>
      <c r="H416"/>
      <c r="I416"/>
    </row>
    <row r="417" spans="2:9" s="2" customFormat="1" x14ac:dyDescent="0.3">
      <c r="B417"/>
      <c r="C417"/>
      <c r="D417"/>
      <c r="E417"/>
      <c r="F417"/>
      <c r="G417"/>
      <c r="H417"/>
      <c r="I417"/>
    </row>
    <row r="418" spans="2:9" s="2" customFormat="1" x14ac:dyDescent="0.3">
      <c r="B418"/>
      <c r="C418"/>
      <c r="D418"/>
      <c r="E418"/>
      <c r="F418"/>
      <c r="G418"/>
      <c r="H418"/>
      <c r="I418"/>
    </row>
    <row r="419" spans="2:9" s="2" customFormat="1" x14ac:dyDescent="0.3">
      <c r="B419"/>
      <c r="C419"/>
      <c r="D419"/>
      <c r="E419"/>
      <c r="F419"/>
      <c r="G419"/>
      <c r="H419"/>
      <c r="I419"/>
    </row>
    <row r="420" spans="2:9" s="2" customFormat="1" x14ac:dyDescent="0.3">
      <c r="B420"/>
      <c r="C420"/>
      <c r="D420"/>
      <c r="E420"/>
      <c r="F420"/>
      <c r="G420"/>
      <c r="H420"/>
      <c r="I420"/>
    </row>
    <row r="421" spans="2:9" s="2" customFormat="1" x14ac:dyDescent="0.3">
      <c r="B421"/>
      <c r="C421"/>
      <c r="D421"/>
      <c r="E421"/>
      <c r="F421"/>
      <c r="G421"/>
      <c r="H421"/>
      <c r="I421"/>
    </row>
    <row r="422" spans="2:9" s="2" customFormat="1" x14ac:dyDescent="0.3">
      <c r="B422"/>
      <c r="C422"/>
      <c r="D422"/>
      <c r="E422"/>
      <c r="F422"/>
      <c r="G422"/>
      <c r="H422"/>
      <c r="I422"/>
    </row>
    <row r="423" spans="2:9" s="2" customFormat="1" x14ac:dyDescent="0.3">
      <c r="B423"/>
      <c r="C423"/>
      <c r="D423"/>
      <c r="E423"/>
      <c r="F423"/>
      <c r="G423"/>
      <c r="H423"/>
      <c r="I423"/>
    </row>
    <row r="424" spans="2:9" s="2" customFormat="1" x14ac:dyDescent="0.3">
      <c r="B424"/>
      <c r="C424"/>
      <c r="D424"/>
      <c r="E424"/>
      <c r="F424"/>
      <c r="G424"/>
      <c r="H424"/>
      <c r="I424"/>
    </row>
    <row r="425" spans="2:9" s="2" customFormat="1" x14ac:dyDescent="0.3">
      <c r="B425"/>
      <c r="C425"/>
      <c r="D425"/>
      <c r="E425"/>
      <c r="F425"/>
      <c r="G425"/>
      <c r="H425"/>
      <c r="I425"/>
    </row>
    <row r="426" spans="2:9" s="2" customFormat="1" x14ac:dyDescent="0.3">
      <c r="B426"/>
      <c r="C426"/>
      <c r="D426"/>
      <c r="E426"/>
      <c r="F426"/>
      <c r="G426"/>
      <c r="H426"/>
      <c r="I426"/>
    </row>
    <row r="427" spans="2:9" s="2" customFormat="1" x14ac:dyDescent="0.3">
      <c r="B427"/>
      <c r="C427"/>
      <c r="D427"/>
      <c r="E427"/>
      <c r="F427"/>
      <c r="G427"/>
      <c r="H427"/>
      <c r="I427"/>
    </row>
    <row r="428" spans="2:9" s="2" customFormat="1" x14ac:dyDescent="0.3">
      <c r="B428"/>
      <c r="C428"/>
      <c r="D428"/>
      <c r="E428"/>
      <c r="F428"/>
      <c r="G428"/>
      <c r="H428"/>
      <c r="I428"/>
    </row>
    <row r="429" spans="2:9" s="2" customFormat="1" x14ac:dyDescent="0.3">
      <c r="B429"/>
      <c r="C429"/>
      <c r="D429"/>
      <c r="E429"/>
      <c r="F429"/>
      <c r="G429"/>
      <c r="H429"/>
      <c r="I429"/>
    </row>
    <row r="430" spans="2:9" s="2" customFormat="1" x14ac:dyDescent="0.3">
      <c r="B430"/>
      <c r="C430"/>
      <c r="D430"/>
      <c r="E430"/>
      <c r="F430"/>
      <c r="G430"/>
      <c r="H430"/>
      <c r="I430"/>
    </row>
    <row r="431" spans="2:9" s="2" customFormat="1" x14ac:dyDescent="0.3">
      <c r="B431"/>
      <c r="C431"/>
      <c r="D431"/>
      <c r="E431"/>
      <c r="F431"/>
      <c r="G431"/>
      <c r="H431"/>
      <c r="I431"/>
    </row>
    <row r="432" spans="2:9" s="2" customFormat="1" x14ac:dyDescent="0.3">
      <c r="B432"/>
      <c r="C432"/>
      <c r="D432"/>
      <c r="E432"/>
      <c r="F432"/>
      <c r="G432"/>
      <c r="H432"/>
      <c r="I432"/>
    </row>
    <row r="433" spans="2:9" s="2" customFormat="1" x14ac:dyDescent="0.3">
      <c r="B433"/>
      <c r="C433"/>
      <c r="D433"/>
      <c r="E433"/>
      <c r="F433"/>
      <c r="G433"/>
      <c r="H433"/>
      <c r="I433"/>
    </row>
    <row r="434" spans="2:9" s="2" customFormat="1" x14ac:dyDescent="0.3">
      <c r="B434"/>
      <c r="C434"/>
      <c r="D434"/>
      <c r="E434"/>
      <c r="F434"/>
      <c r="G434"/>
      <c r="H434"/>
      <c r="I434"/>
    </row>
    <row r="435" spans="2:9" s="2" customFormat="1" x14ac:dyDescent="0.3">
      <c r="B435"/>
      <c r="C435"/>
      <c r="D435"/>
      <c r="E435"/>
      <c r="F435"/>
      <c r="G435"/>
      <c r="H435"/>
      <c r="I435"/>
    </row>
    <row r="436" spans="2:9" s="2" customFormat="1" x14ac:dyDescent="0.3">
      <c r="B436"/>
      <c r="C436"/>
      <c r="D436"/>
      <c r="E436"/>
      <c r="F436"/>
      <c r="G436"/>
      <c r="H436"/>
      <c r="I436"/>
    </row>
    <row r="437" spans="2:9" s="2" customFormat="1" x14ac:dyDescent="0.3">
      <c r="B437"/>
      <c r="C437"/>
      <c r="D437"/>
      <c r="E437"/>
      <c r="F437"/>
      <c r="G437"/>
      <c r="H437"/>
      <c r="I437"/>
    </row>
    <row r="438" spans="2:9" s="2" customFormat="1" x14ac:dyDescent="0.3">
      <c r="B438"/>
      <c r="C438"/>
      <c r="D438"/>
      <c r="E438"/>
      <c r="F438"/>
      <c r="G438"/>
      <c r="H438"/>
      <c r="I438"/>
    </row>
    <row r="439" spans="2:9" s="2" customFormat="1" x14ac:dyDescent="0.3">
      <c r="B439"/>
      <c r="C439"/>
      <c r="D439"/>
      <c r="E439"/>
      <c r="F439"/>
      <c r="G439"/>
      <c r="H439"/>
      <c r="I439"/>
    </row>
    <row r="440" spans="2:9" s="2" customFormat="1" x14ac:dyDescent="0.3">
      <c r="B440"/>
      <c r="C440"/>
      <c r="D440"/>
      <c r="E440"/>
      <c r="F440"/>
      <c r="G440"/>
      <c r="H440"/>
      <c r="I440"/>
    </row>
    <row r="441" spans="2:9" s="2" customFormat="1" x14ac:dyDescent="0.3">
      <c r="B441"/>
      <c r="C441"/>
      <c r="D441"/>
      <c r="E441"/>
      <c r="F441"/>
      <c r="G441"/>
      <c r="H441"/>
      <c r="I441"/>
    </row>
    <row r="442" spans="2:9" s="2" customFormat="1" x14ac:dyDescent="0.3">
      <c r="B442"/>
      <c r="C442"/>
      <c r="D442"/>
      <c r="E442"/>
      <c r="F442"/>
      <c r="G442"/>
      <c r="H442"/>
      <c r="I442"/>
    </row>
    <row r="443" spans="2:9" s="2" customFormat="1" x14ac:dyDescent="0.3">
      <c r="B443"/>
      <c r="C443"/>
      <c r="D443"/>
      <c r="E443"/>
      <c r="F443"/>
      <c r="G443"/>
      <c r="H443"/>
      <c r="I443"/>
    </row>
    <row r="444" spans="2:9" s="2" customFormat="1" x14ac:dyDescent="0.3">
      <c r="B444"/>
      <c r="C444"/>
      <c r="D444"/>
      <c r="E444"/>
      <c r="F444"/>
      <c r="G444"/>
      <c r="H444"/>
      <c r="I444"/>
    </row>
    <row r="445" spans="2:9" s="2" customFormat="1" x14ac:dyDescent="0.3">
      <c r="B445"/>
      <c r="C445"/>
      <c r="D445"/>
      <c r="E445"/>
      <c r="F445"/>
      <c r="G445"/>
      <c r="H445"/>
      <c r="I445"/>
    </row>
    <row r="446" spans="2:9" s="2" customFormat="1" x14ac:dyDescent="0.3">
      <c r="B446"/>
      <c r="C446"/>
      <c r="D446"/>
      <c r="E446"/>
      <c r="F446"/>
      <c r="G446"/>
      <c r="H446"/>
      <c r="I446"/>
    </row>
    <row r="447" spans="2:9" s="2" customFormat="1" x14ac:dyDescent="0.3">
      <c r="B447"/>
      <c r="C447"/>
      <c r="D447"/>
      <c r="E447"/>
      <c r="F447"/>
      <c r="G447"/>
      <c r="H447"/>
      <c r="I447"/>
    </row>
    <row r="448" spans="2:9" s="2" customFormat="1" x14ac:dyDescent="0.3">
      <c r="B448"/>
      <c r="C448"/>
      <c r="D448"/>
      <c r="E448"/>
      <c r="F448"/>
      <c r="G448"/>
      <c r="H448"/>
      <c r="I448"/>
    </row>
    <row r="449" spans="2:9" s="2" customFormat="1" x14ac:dyDescent="0.3">
      <c r="B449"/>
      <c r="C449"/>
      <c r="D449"/>
      <c r="E449"/>
      <c r="F449"/>
      <c r="G449"/>
      <c r="H449"/>
      <c r="I449"/>
    </row>
    <row r="450" spans="2:9" s="2" customFormat="1" x14ac:dyDescent="0.3">
      <c r="B450"/>
      <c r="C450"/>
      <c r="D450"/>
      <c r="E450"/>
      <c r="F450"/>
      <c r="G450"/>
      <c r="H450"/>
      <c r="I450"/>
    </row>
    <row r="451" spans="2:9" s="2" customFormat="1" x14ac:dyDescent="0.3">
      <c r="B451"/>
      <c r="C451"/>
      <c r="D451"/>
      <c r="E451"/>
      <c r="F451"/>
      <c r="G451"/>
      <c r="H451"/>
      <c r="I451"/>
    </row>
    <row r="452" spans="2:9" s="2" customFormat="1" x14ac:dyDescent="0.3">
      <c r="B452"/>
      <c r="C452"/>
      <c r="D452"/>
      <c r="E452"/>
      <c r="F452"/>
      <c r="G452"/>
      <c r="H452"/>
      <c r="I452"/>
    </row>
    <row r="453" spans="2:9" s="2" customFormat="1" x14ac:dyDescent="0.3">
      <c r="B453"/>
      <c r="C453"/>
      <c r="D453"/>
      <c r="E453"/>
      <c r="F453"/>
      <c r="G453"/>
      <c r="H453"/>
      <c r="I453"/>
    </row>
    <row r="454" spans="2:9" s="2" customFormat="1" x14ac:dyDescent="0.3">
      <c r="B454"/>
      <c r="C454"/>
      <c r="D454"/>
      <c r="E454"/>
      <c r="F454"/>
      <c r="G454"/>
      <c r="H454"/>
      <c r="I454"/>
    </row>
    <row r="455" spans="2:9" s="2" customFormat="1" x14ac:dyDescent="0.3">
      <c r="B455"/>
      <c r="C455"/>
      <c r="D455"/>
      <c r="E455"/>
      <c r="F455"/>
      <c r="G455"/>
      <c r="H455"/>
      <c r="I455"/>
    </row>
    <row r="456" spans="2:9" s="2" customFormat="1" x14ac:dyDescent="0.3">
      <c r="B456"/>
      <c r="C456"/>
      <c r="D456"/>
      <c r="E456"/>
      <c r="F456"/>
      <c r="G456"/>
      <c r="H456"/>
      <c r="I456"/>
    </row>
    <row r="457" spans="2:9" s="2" customFormat="1" x14ac:dyDescent="0.3">
      <c r="B457"/>
      <c r="C457"/>
      <c r="D457"/>
      <c r="E457"/>
      <c r="F457"/>
      <c r="G457"/>
      <c r="H457"/>
      <c r="I457"/>
    </row>
    <row r="458" spans="2:9" s="2" customFormat="1" x14ac:dyDescent="0.3">
      <c r="B458"/>
      <c r="C458"/>
      <c r="D458"/>
      <c r="E458"/>
      <c r="F458"/>
      <c r="G458"/>
      <c r="H458"/>
      <c r="I458"/>
    </row>
    <row r="459" spans="2:9" s="2" customFormat="1" x14ac:dyDescent="0.3">
      <c r="B459"/>
      <c r="C459"/>
      <c r="D459"/>
      <c r="E459"/>
      <c r="F459"/>
      <c r="G459"/>
      <c r="H459"/>
      <c r="I459"/>
    </row>
    <row r="460" spans="2:9" s="2" customFormat="1" x14ac:dyDescent="0.3">
      <c r="B460"/>
      <c r="C460"/>
      <c r="D460"/>
      <c r="E460"/>
      <c r="F460"/>
      <c r="G460"/>
      <c r="H460"/>
      <c r="I460"/>
    </row>
    <row r="461" spans="2:9" s="2" customFormat="1" x14ac:dyDescent="0.3">
      <c r="B461"/>
      <c r="C461"/>
      <c r="D461"/>
      <c r="E461"/>
      <c r="F461"/>
      <c r="G461"/>
      <c r="H461"/>
      <c r="I461"/>
    </row>
    <row r="462" spans="2:9" s="2" customFormat="1" x14ac:dyDescent="0.3">
      <c r="B462"/>
      <c r="C462"/>
      <c r="D462"/>
      <c r="E462"/>
      <c r="F462"/>
      <c r="G462"/>
      <c r="H462"/>
      <c r="I462"/>
    </row>
    <row r="463" spans="2:9" s="2" customFormat="1" x14ac:dyDescent="0.3">
      <c r="B463"/>
      <c r="C463"/>
      <c r="D463"/>
      <c r="E463"/>
      <c r="F463"/>
      <c r="G463"/>
      <c r="H463"/>
      <c r="I463"/>
    </row>
    <row r="464" spans="2:9" s="2" customFormat="1" x14ac:dyDescent="0.3">
      <c r="B464"/>
      <c r="C464"/>
      <c r="D464"/>
      <c r="E464"/>
      <c r="F464"/>
      <c r="G464"/>
      <c r="H464"/>
      <c r="I464"/>
    </row>
    <row r="465" spans="2:9" s="2" customFormat="1" x14ac:dyDescent="0.3">
      <c r="B465"/>
      <c r="C465"/>
      <c r="D465"/>
      <c r="E465"/>
      <c r="F465"/>
      <c r="G465"/>
      <c r="H465"/>
      <c r="I465"/>
    </row>
    <row r="466" spans="2:9" s="2" customFormat="1" x14ac:dyDescent="0.3">
      <c r="B466"/>
      <c r="C466"/>
      <c r="D466"/>
      <c r="E466"/>
      <c r="F466"/>
      <c r="G466"/>
      <c r="H466"/>
      <c r="I466"/>
    </row>
    <row r="467" spans="2:9" s="2" customFormat="1" x14ac:dyDescent="0.3">
      <c r="B467"/>
      <c r="C467"/>
      <c r="D467"/>
      <c r="E467"/>
      <c r="F467"/>
      <c r="G467"/>
      <c r="H467"/>
      <c r="I467"/>
    </row>
    <row r="468" spans="2:9" s="2" customFormat="1" x14ac:dyDescent="0.3">
      <c r="B468"/>
      <c r="C468"/>
      <c r="D468"/>
      <c r="E468"/>
      <c r="F468"/>
      <c r="G468"/>
      <c r="H468"/>
      <c r="I468"/>
    </row>
    <row r="469" spans="2:9" s="2" customFormat="1" x14ac:dyDescent="0.3">
      <c r="B469"/>
      <c r="C469"/>
      <c r="D469"/>
      <c r="E469"/>
      <c r="F469"/>
      <c r="G469"/>
      <c r="H469"/>
      <c r="I469"/>
    </row>
    <row r="470" spans="2:9" s="2" customFormat="1" x14ac:dyDescent="0.3">
      <c r="B470"/>
      <c r="C470"/>
      <c r="D470"/>
      <c r="E470"/>
      <c r="F470"/>
      <c r="G470"/>
      <c r="H470"/>
      <c r="I470"/>
    </row>
    <row r="471" spans="2:9" s="2" customFormat="1" x14ac:dyDescent="0.3">
      <c r="B471"/>
      <c r="C471"/>
      <c r="D471"/>
      <c r="E471"/>
      <c r="F471"/>
      <c r="G471"/>
      <c r="H471"/>
      <c r="I471"/>
    </row>
    <row r="472" spans="2:9" s="2" customFormat="1" x14ac:dyDescent="0.3">
      <c r="B472"/>
      <c r="C472"/>
      <c r="D472"/>
      <c r="E472"/>
      <c r="F472"/>
      <c r="G472"/>
      <c r="H472"/>
      <c r="I472"/>
    </row>
    <row r="473" spans="2:9" s="2" customFormat="1" x14ac:dyDescent="0.3">
      <c r="B473"/>
      <c r="C473"/>
      <c r="D473"/>
      <c r="E473"/>
      <c r="F473"/>
      <c r="G473"/>
      <c r="H473"/>
      <c r="I473"/>
    </row>
    <row r="474" spans="2:9" s="2" customFormat="1" x14ac:dyDescent="0.3">
      <c r="B474"/>
      <c r="C474"/>
      <c r="D474"/>
      <c r="E474"/>
      <c r="F474"/>
      <c r="G474"/>
      <c r="H474"/>
      <c r="I474"/>
    </row>
    <row r="475" spans="2:9" s="2" customFormat="1" x14ac:dyDescent="0.3">
      <c r="B475"/>
      <c r="C475"/>
      <c r="D475"/>
      <c r="E475"/>
      <c r="F475"/>
      <c r="G475"/>
      <c r="H475"/>
      <c r="I475"/>
    </row>
    <row r="476" spans="2:9" s="2" customFormat="1" x14ac:dyDescent="0.3">
      <c r="B476"/>
      <c r="C476"/>
      <c r="D476"/>
      <c r="E476"/>
      <c r="F476"/>
      <c r="G476"/>
      <c r="H476"/>
      <c r="I476"/>
    </row>
    <row r="477" spans="2:9" s="2" customFormat="1" x14ac:dyDescent="0.3">
      <c r="B477"/>
      <c r="C477"/>
      <c r="D477"/>
      <c r="E477"/>
      <c r="F477"/>
      <c r="G477"/>
      <c r="H477"/>
      <c r="I477"/>
    </row>
    <row r="478" spans="2:9" s="2" customFormat="1" x14ac:dyDescent="0.3">
      <c r="B478"/>
      <c r="C478"/>
      <c r="D478"/>
      <c r="E478"/>
      <c r="F478"/>
      <c r="G478"/>
      <c r="H478"/>
      <c r="I478"/>
    </row>
    <row r="479" spans="2:9" s="2" customFormat="1" x14ac:dyDescent="0.3">
      <c r="B479"/>
      <c r="C479"/>
      <c r="D479"/>
      <c r="E479"/>
      <c r="F479"/>
      <c r="G479"/>
      <c r="H479"/>
      <c r="I479"/>
    </row>
    <row r="480" spans="2:9" s="2" customFormat="1" x14ac:dyDescent="0.3">
      <c r="B480"/>
      <c r="C480"/>
      <c r="D480"/>
      <c r="E480"/>
      <c r="F480"/>
      <c r="G480"/>
      <c r="H480"/>
      <c r="I480"/>
    </row>
    <row r="481" spans="2:9" s="2" customFormat="1" x14ac:dyDescent="0.3">
      <c r="B481"/>
      <c r="C481"/>
      <c r="D481"/>
      <c r="E481"/>
      <c r="F481"/>
      <c r="G481"/>
      <c r="H481"/>
      <c r="I481"/>
    </row>
    <row r="482" spans="2:9" s="2" customFormat="1" x14ac:dyDescent="0.3">
      <c r="B482"/>
      <c r="C482"/>
      <c r="D482"/>
      <c r="E482"/>
      <c r="F482"/>
      <c r="G482"/>
      <c r="H482"/>
      <c r="I482"/>
    </row>
    <row r="483" spans="2:9" s="2" customFormat="1" x14ac:dyDescent="0.3">
      <c r="B483"/>
      <c r="C483"/>
      <c r="D483"/>
      <c r="E483"/>
      <c r="F483"/>
      <c r="G483"/>
      <c r="H483"/>
      <c r="I483"/>
    </row>
    <row r="484" spans="2:9" s="2" customFormat="1" x14ac:dyDescent="0.3">
      <c r="B484"/>
      <c r="C484"/>
      <c r="D484"/>
      <c r="E484"/>
      <c r="F484"/>
      <c r="G484"/>
      <c r="H484"/>
      <c r="I484"/>
    </row>
    <row r="485" spans="2:9" s="2" customFormat="1" x14ac:dyDescent="0.3">
      <c r="B485"/>
      <c r="C485"/>
      <c r="D485"/>
      <c r="E485"/>
      <c r="F485"/>
      <c r="G485"/>
      <c r="H485"/>
      <c r="I485"/>
    </row>
    <row r="486" spans="2:9" s="2" customFormat="1" x14ac:dyDescent="0.3">
      <c r="B486"/>
      <c r="C486"/>
      <c r="D486"/>
      <c r="E486"/>
      <c r="F486"/>
      <c r="G486"/>
      <c r="H486"/>
      <c r="I486"/>
    </row>
    <row r="487" spans="2:9" s="2" customFormat="1" x14ac:dyDescent="0.3">
      <c r="B487"/>
      <c r="C487"/>
      <c r="D487"/>
      <c r="E487"/>
      <c r="F487"/>
      <c r="G487"/>
      <c r="H487"/>
      <c r="I487"/>
    </row>
    <row r="488" spans="2:9" s="2" customFormat="1" x14ac:dyDescent="0.3">
      <c r="B488"/>
      <c r="C488"/>
      <c r="D488"/>
      <c r="E488"/>
      <c r="F488"/>
      <c r="G488"/>
      <c r="H488"/>
      <c r="I488"/>
    </row>
    <row r="489" spans="2:9" s="2" customFormat="1" x14ac:dyDescent="0.3">
      <c r="B489"/>
      <c r="C489"/>
      <c r="D489"/>
      <c r="E489"/>
      <c r="F489"/>
      <c r="G489"/>
      <c r="H489"/>
      <c r="I489"/>
    </row>
    <row r="490" spans="2:9" s="2" customFormat="1" x14ac:dyDescent="0.3">
      <c r="B490"/>
      <c r="C490"/>
      <c r="D490"/>
      <c r="E490"/>
      <c r="F490"/>
      <c r="G490"/>
      <c r="H490"/>
      <c r="I490"/>
    </row>
    <row r="491" spans="2:9" s="2" customFormat="1" x14ac:dyDescent="0.3">
      <c r="B491"/>
      <c r="C491"/>
      <c r="D491"/>
      <c r="E491"/>
      <c r="F491"/>
      <c r="G491"/>
      <c r="H491"/>
      <c r="I491"/>
    </row>
    <row r="492" spans="2:9" s="2" customFormat="1" x14ac:dyDescent="0.3">
      <c r="B492"/>
      <c r="C492"/>
      <c r="D492"/>
      <c r="E492"/>
      <c r="F492"/>
      <c r="G492"/>
      <c r="H492"/>
      <c r="I492"/>
    </row>
    <row r="493" spans="2:9" s="2" customFormat="1" x14ac:dyDescent="0.3">
      <c r="B493"/>
      <c r="C493"/>
      <c r="D493"/>
      <c r="E493"/>
      <c r="F493"/>
      <c r="G493"/>
      <c r="H493"/>
      <c r="I493"/>
    </row>
    <row r="494" spans="2:9" s="2" customFormat="1" x14ac:dyDescent="0.3">
      <c r="B494"/>
      <c r="C494"/>
      <c r="D494"/>
      <c r="E494"/>
      <c r="F494"/>
      <c r="G494"/>
      <c r="H494"/>
      <c r="I494"/>
    </row>
    <row r="495" spans="2:9" s="2" customFormat="1" x14ac:dyDescent="0.3">
      <c r="B495"/>
      <c r="C495"/>
      <c r="D495"/>
      <c r="E495"/>
      <c r="F495"/>
      <c r="G495"/>
      <c r="H495"/>
      <c r="I495"/>
    </row>
    <row r="496" spans="2:9" s="2" customFormat="1" x14ac:dyDescent="0.3">
      <c r="B496"/>
      <c r="C496"/>
      <c r="D496"/>
      <c r="E496"/>
      <c r="F496"/>
      <c r="G496"/>
      <c r="H496"/>
      <c r="I496"/>
    </row>
    <row r="497" spans="2:9" s="2" customFormat="1" x14ac:dyDescent="0.3">
      <c r="B497"/>
      <c r="C497"/>
      <c r="D497"/>
      <c r="E497"/>
      <c r="F497"/>
      <c r="G497"/>
      <c r="H497"/>
      <c r="I497"/>
    </row>
    <row r="498" spans="2:9" s="2" customFormat="1" x14ac:dyDescent="0.3">
      <c r="B498"/>
      <c r="C498"/>
      <c r="D498"/>
      <c r="E498"/>
      <c r="F498"/>
      <c r="G498"/>
      <c r="H498"/>
      <c r="I498"/>
    </row>
    <row r="499" spans="2:9" s="2" customFormat="1" x14ac:dyDescent="0.3">
      <c r="B499"/>
      <c r="C499"/>
      <c r="D499"/>
      <c r="E499"/>
      <c r="F499"/>
      <c r="G499"/>
      <c r="H499"/>
      <c r="I499"/>
    </row>
    <row r="500" spans="2:9" s="2" customFormat="1" x14ac:dyDescent="0.3">
      <c r="B500"/>
      <c r="C500"/>
      <c r="D500"/>
      <c r="E500"/>
      <c r="F500"/>
      <c r="G500"/>
      <c r="H500"/>
      <c r="I500"/>
    </row>
    <row r="501" spans="2:9" s="2" customFormat="1" x14ac:dyDescent="0.3">
      <c r="B501"/>
      <c r="C501"/>
      <c r="D501"/>
      <c r="E501"/>
      <c r="F501"/>
      <c r="G501"/>
      <c r="H501"/>
      <c r="I501"/>
    </row>
    <row r="502" spans="2:9" s="2" customFormat="1" x14ac:dyDescent="0.3">
      <c r="B502"/>
      <c r="C502"/>
      <c r="D502"/>
      <c r="E502"/>
      <c r="F502"/>
      <c r="G502"/>
      <c r="H502"/>
      <c r="I502"/>
    </row>
    <row r="503" spans="2:9" s="2" customFormat="1" x14ac:dyDescent="0.3">
      <c r="B503"/>
      <c r="C503"/>
      <c r="D503"/>
      <c r="E503"/>
      <c r="F503"/>
      <c r="G503"/>
      <c r="H503"/>
      <c r="I503"/>
    </row>
    <row r="504" spans="2:9" s="2" customFormat="1" x14ac:dyDescent="0.3">
      <c r="B504"/>
      <c r="C504"/>
      <c r="D504"/>
      <c r="E504"/>
      <c r="F504"/>
      <c r="G504"/>
      <c r="H504"/>
      <c r="I504"/>
    </row>
    <row r="505" spans="2:9" s="2" customFormat="1" x14ac:dyDescent="0.3">
      <c r="B505"/>
      <c r="C505"/>
      <c r="D505"/>
      <c r="E505"/>
      <c r="F505"/>
      <c r="G505"/>
      <c r="H505"/>
      <c r="I505"/>
    </row>
    <row r="506" spans="2:9" s="2" customFormat="1" x14ac:dyDescent="0.3">
      <c r="B506"/>
      <c r="C506"/>
      <c r="D506"/>
      <c r="E506"/>
      <c r="F506"/>
      <c r="G506"/>
      <c r="H506"/>
      <c r="I506"/>
    </row>
    <row r="507" spans="2:9" s="2" customFormat="1" x14ac:dyDescent="0.3">
      <c r="B507"/>
      <c r="C507"/>
      <c r="D507"/>
      <c r="E507"/>
      <c r="F507"/>
      <c r="G507"/>
      <c r="H507"/>
      <c r="I507"/>
    </row>
    <row r="508" spans="2:9" s="2" customFormat="1" x14ac:dyDescent="0.3">
      <c r="B508"/>
      <c r="C508"/>
      <c r="D508"/>
      <c r="E508"/>
      <c r="F508"/>
      <c r="G508"/>
      <c r="H508"/>
      <c r="I508"/>
    </row>
    <row r="509" spans="2:9" s="2" customFormat="1" x14ac:dyDescent="0.3">
      <c r="B509"/>
      <c r="C509"/>
      <c r="D509"/>
      <c r="E509"/>
      <c r="F509"/>
      <c r="G509"/>
      <c r="H509"/>
      <c r="I509"/>
    </row>
    <row r="510" spans="2:9" s="2" customFormat="1" x14ac:dyDescent="0.3">
      <c r="B510"/>
      <c r="C510"/>
      <c r="D510"/>
      <c r="E510"/>
      <c r="F510"/>
      <c r="G510"/>
      <c r="H510"/>
      <c r="I510"/>
    </row>
    <row r="511" spans="2:9" s="2" customFormat="1" x14ac:dyDescent="0.3">
      <c r="B511"/>
      <c r="C511"/>
      <c r="D511"/>
      <c r="E511"/>
      <c r="F511"/>
      <c r="G511"/>
      <c r="H511"/>
      <c r="I511"/>
    </row>
    <row r="512" spans="2:9" s="2" customFormat="1" x14ac:dyDescent="0.3">
      <c r="B512"/>
      <c r="C512"/>
      <c r="D512"/>
      <c r="E512"/>
      <c r="F512"/>
      <c r="G512"/>
      <c r="H512"/>
      <c r="I512"/>
    </row>
    <row r="513" spans="2:9" s="2" customFormat="1" x14ac:dyDescent="0.3">
      <c r="B513"/>
      <c r="C513"/>
      <c r="D513"/>
      <c r="E513"/>
      <c r="F513"/>
      <c r="G513"/>
      <c r="H513"/>
      <c r="I513"/>
    </row>
    <row r="514" spans="2:9" s="2" customFormat="1" x14ac:dyDescent="0.3">
      <c r="B514"/>
      <c r="C514"/>
      <c r="D514"/>
      <c r="E514"/>
      <c r="F514"/>
      <c r="G514"/>
      <c r="H514"/>
      <c r="I514"/>
    </row>
    <row r="515" spans="2:9" s="2" customFormat="1" x14ac:dyDescent="0.3">
      <c r="B515"/>
      <c r="C515"/>
      <c r="D515"/>
      <c r="E515"/>
      <c r="F515"/>
      <c r="G515"/>
      <c r="H515"/>
      <c r="I515"/>
    </row>
    <row r="516" spans="2:9" s="2" customFormat="1" x14ac:dyDescent="0.3">
      <c r="B516"/>
      <c r="C516"/>
      <c r="D516"/>
      <c r="E516"/>
      <c r="F516"/>
      <c r="G516"/>
      <c r="H516"/>
      <c r="I516"/>
    </row>
    <row r="517" spans="2:9" s="2" customFormat="1" x14ac:dyDescent="0.3">
      <c r="B517"/>
      <c r="C517"/>
      <c r="D517"/>
      <c r="E517"/>
      <c r="F517"/>
      <c r="G517"/>
      <c r="H517"/>
      <c r="I517"/>
    </row>
    <row r="518" spans="2:9" s="2" customFormat="1" x14ac:dyDescent="0.3">
      <c r="B518"/>
      <c r="C518"/>
      <c r="D518"/>
      <c r="E518"/>
      <c r="F518"/>
      <c r="G518"/>
      <c r="H518"/>
      <c r="I518"/>
    </row>
    <row r="519" spans="2:9" s="2" customFormat="1" x14ac:dyDescent="0.3">
      <c r="B519"/>
      <c r="C519"/>
      <c r="D519"/>
      <c r="E519"/>
      <c r="F519"/>
      <c r="G519"/>
      <c r="H519"/>
      <c r="I519"/>
    </row>
    <row r="520" spans="2:9" s="2" customFormat="1" x14ac:dyDescent="0.3">
      <c r="B520"/>
      <c r="C520"/>
      <c r="D520"/>
      <c r="E520"/>
      <c r="F520"/>
      <c r="G520"/>
      <c r="H520"/>
      <c r="I520"/>
    </row>
    <row r="521" spans="2:9" s="2" customFormat="1" x14ac:dyDescent="0.3">
      <c r="B521"/>
      <c r="C521"/>
      <c r="D521"/>
      <c r="E521"/>
      <c r="F521"/>
      <c r="G521"/>
      <c r="H521"/>
      <c r="I521"/>
    </row>
    <row r="522" spans="2:9" s="2" customFormat="1" x14ac:dyDescent="0.3">
      <c r="B522"/>
      <c r="C522"/>
      <c r="D522"/>
      <c r="E522"/>
      <c r="F522"/>
      <c r="G522"/>
      <c r="H522"/>
      <c r="I522"/>
    </row>
  </sheetData>
  <mergeCells count="1">
    <mergeCell ref="B2:D2"/>
  </mergeCells>
  <phoneticPr fontId="9" type="noConversion"/>
  <dataValidations count="1">
    <dataValidation type="list" allowBlank="1" showErrorMessage="1" sqref="G54 G46:G48 G41:G42 G12:G23 G34:G35 G25:G32 G60:G61 G39 G44 G50 G37 G56 G58 G52" xr:uid="{1BEBE5F8-867F-41AB-BFAA-F2B5FE6D0725}">
      <formula1>"Pass,Fail,On hold,Not Executed"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B38B7-5039-49F4-ACBA-D272453E2B7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850629D52856C4B8B905BD5E128D02A" ma:contentTypeVersion="22" ma:contentTypeDescription="Create a new document." ma:contentTypeScope="" ma:versionID="69ca3b096df35a894ebfa640d9aadcd0">
  <xsd:schema xmlns:xsd="http://www.w3.org/2001/XMLSchema" xmlns:xs="http://www.w3.org/2001/XMLSchema" xmlns:p="http://schemas.microsoft.com/office/2006/metadata/properties" xmlns:ns2="e6b9d620-2d63-4d70-987f-92b08f2615c7" xmlns:ns3="a9c462d1-2ca3-4f0c-ab01-e2272e0ea437" xmlns:ns4="http://schemas.microsoft.com/sharepoint/v3/fields" targetNamespace="http://schemas.microsoft.com/office/2006/metadata/properties" ma:root="true" ma:fieldsID="ae131982beb4225e768b479320edb28b" ns2:_="" ns3:_="" ns4:_="">
    <xsd:import namespace="e6b9d620-2d63-4d70-987f-92b08f2615c7"/>
    <xsd:import namespace="a9c462d1-2ca3-4f0c-ab01-e2272e0ea437"/>
    <xsd:import namespace="http://schemas.microsoft.com/sharepoint/v3/fields"/>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lcf76f155ced4ddcb4097134ff3c332f" minOccurs="0"/>
                <xsd:element ref="ns2:TaxCatchAll" minOccurs="0"/>
                <xsd:element ref="ns3:MediaServiceLocation" minOccurs="0"/>
                <xsd:element ref="ns3:MediaServiceObjectDetectorVersions" minOccurs="0"/>
                <xsd:element ref="ns3:_ModernAudienceTargetUserField" minOccurs="0"/>
                <xsd:element ref="ns3:_ModernAudienceAadObjectIds" minOccurs="0"/>
                <xsd:element ref="ns4:_DCDateCreated" minOccurs="0"/>
                <xsd:element ref="ns4:_DCDateModified"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b9d620-2d63-4d70-987f-92b08f261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3d1c232-a707-471a-b7a2-c7207e7a8eaf}" ma:internalName="TaxCatchAll" ma:showField="CatchAllData" ma:web="e6b9d620-2d63-4d70-987f-92b08f2615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9c462d1-2ca3-4f0c-ab01-e2272e0ea437"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53792688-ef23-4422-a71a-2e88290d85e0"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_ModernAudienceTargetUserField" ma:index="28" nillable="true" ma:displayName="Audience" ma:list="UserInfo" ma:SharePointGroup="0" ma:internalName="_ModernAudienceTargetUserField"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ModernAudienceAadObjectIds" ma:index="29" nillable="true" ma:displayName="AudienceIds" ma:list="{faa99aff-8ef4-4086-8a43-d3732421b0d4}" ma:internalName="_ModernAudienceAadObjectIds" ma:readOnly="true" ma:showField="_AadObjectIdForUser" ma:web="e6b9d620-2d63-4d70-987f-92b08f2615c7">
      <xsd:complexType>
        <xsd:complexContent>
          <xsd:extension base="dms:MultiChoiceLookup">
            <xsd:sequence>
              <xsd:element name="Value" type="dms:Lookup" maxOccurs="unbounded" minOccurs="0" nillable="true"/>
            </xsd:sequence>
          </xsd:extension>
        </xsd:complexContent>
      </xsd:complex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0" nillable="true" ma:displayName="Date Created" ma:description="The date on which this resource was created" ma:format="DateTime" ma:indexed="true" ma:internalName="_DCDateCreated">
      <xsd:simpleType>
        <xsd:restriction base="dms:DateTime"/>
      </xsd:simpleType>
    </xsd:element>
    <xsd:element name="_DCDateModified" ma:index="31" nillable="true" ma:displayName="Date Modified" ma:default="[today]" ma:description="The date on which this resource was last modified" ma:format="DateTime" ma:internalName="_DCDateModifi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6b9d620-2d63-4d70-987f-92b08f2615c7" xsi:nil="true"/>
    <lcf76f155ced4ddcb4097134ff3c332f xmlns="a9c462d1-2ca3-4f0c-ab01-e2272e0ea437">
      <Terms xmlns="http://schemas.microsoft.com/office/infopath/2007/PartnerControls"/>
    </lcf76f155ced4ddcb4097134ff3c332f>
    <SharedWithUsers xmlns="e6b9d620-2d63-4d70-987f-92b08f2615c7">
      <UserInfo>
        <DisplayName/>
        <AccountId xsi:nil="true"/>
        <AccountType/>
      </UserInfo>
    </SharedWithUsers>
    <MediaLengthInSeconds xmlns="a9c462d1-2ca3-4f0c-ab01-e2272e0ea437" xsi:nil="true"/>
    <_dlc_DocId xmlns="e6b9d620-2d63-4d70-987f-92b08f2615c7">SEAKN2HDVREW-1028582682-38294</_dlc_DocId>
    <_dlc_DocIdUrl xmlns="e6b9d620-2d63-4d70-987f-92b08f2615c7">
      <Url>https://emblaasia.sharepoint.com/sites/dc/_layouts/15/DocIdRedir.aspx?ID=SEAKN2HDVREW-1028582682-38294</Url>
      <Description>SEAKN2HDVREW-1028582682-38294</Description>
    </_dlc_DocIdUrl>
    <_DCDateModified xmlns="http://schemas.microsoft.com/sharepoint/v3/fields">2023-11-21T05:36:56+00:00</_DCDateModified>
    <_ModernAudienceTargetUserField xmlns="a9c462d1-2ca3-4f0c-ab01-e2272e0ea437">
      <UserInfo>
        <DisplayName/>
        <AccountId xsi:nil="true"/>
        <AccountType/>
      </UserInfo>
    </_ModernAudienceTargetUserField>
    <_DCDateCreated xmlns="http://schemas.microsoft.com/sharepoint/v3/fields" xsi:nil="true"/>
  </documentManagement>
</p:properties>
</file>

<file path=customXml/itemProps1.xml><?xml version="1.0" encoding="utf-8"?>
<ds:datastoreItem xmlns:ds="http://schemas.openxmlformats.org/officeDocument/2006/customXml" ds:itemID="{6275DBA2-BA95-4429-AD27-BB2628744A20}">
  <ds:schemaRefs>
    <ds:schemaRef ds:uri="http://schemas.microsoft.com/sharepoint/events"/>
  </ds:schemaRefs>
</ds:datastoreItem>
</file>

<file path=customXml/itemProps2.xml><?xml version="1.0" encoding="utf-8"?>
<ds:datastoreItem xmlns:ds="http://schemas.openxmlformats.org/officeDocument/2006/customXml" ds:itemID="{6548AFDA-EAD6-4179-AF1F-74B21017C4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b9d620-2d63-4d70-987f-92b08f2615c7"/>
    <ds:schemaRef ds:uri="a9c462d1-2ca3-4f0c-ab01-e2272e0ea437"/>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5DC04D-BAF8-475D-8DBD-3D67CE7830AA}">
  <ds:schemaRefs>
    <ds:schemaRef ds:uri="http://schemas.microsoft.com/sharepoint/v3/contenttype/forms"/>
  </ds:schemaRefs>
</ds:datastoreItem>
</file>

<file path=customXml/itemProps4.xml><?xml version="1.0" encoding="utf-8"?>
<ds:datastoreItem xmlns:ds="http://schemas.openxmlformats.org/officeDocument/2006/customXml" ds:itemID="{CA2773F3-E295-46C0-9242-37C56248B420}">
  <ds:schemaRefs>
    <ds:schemaRef ds:uri="http://schemas.microsoft.com/office/2006/metadata/properties"/>
    <ds:schemaRef ds:uri="http://schemas.microsoft.com/office/infopath/2007/PartnerControls"/>
    <ds:schemaRef ds:uri="e6b9d620-2d63-4d70-987f-92b08f2615c7"/>
    <ds:schemaRef ds:uri="a9c462d1-2ca3-4f0c-ab01-e2272e0ea437"/>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Eranga Rajapaksha</dc:creator>
  <cp:keywords/>
  <dc:description/>
  <cp:lastModifiedBy>Dell</cp:lastModifiedBy>
  <cp:revision/>
  <dcterms:created xsi:type="dcterms:W3CDTF">2022-02-10T04:13:43Z</dcterms:created>
  <dcterms:modified xsi:type="dcterms:W3CDTF">2024-12-05T08:52:01Z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0x010100B850629D52856C4B8B905BD5E128D02A</vt:lpwstr>
  </property>
  <property fmtid="{D5CDD505-2E9C-101B-9397-08002B2CF9AE}" pid="3" name="Order">
    <vt:r8>41600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y fmtid="{D5CDD505-2E9C-101B-9397-08002B2CF9AE}" pid="13" name="_dlc_DocIdItemGuid">
    <vt:lpwstr>17a30b67-7add-4e77-9226-f80af7c37223</vt:lpwstr>
  </property>
</Properties>
</file>